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willn\Desktop\"/>
    </mc:Choice>
  </mc:AlternateContent>
  <xr:revisionPtr revIDLastSave="0" documentId="13_ncr:1_{BB5929F0-AB04-4F76-A88C-4CCA017F9C75}" xr6:coauthVersionLast="47" xr6:coauthVersionMax="47" xr10:uidLastSave="{00000000-0000-0000-0000-000000000000}"/>
  <bookViews>
    <workbookView xWindow="-120" yWindow="-120" windowWidth="21840" windowHeight="13740" xr2:uid="{00000000-000D-0000-FFFF-FFFF00000000}"/>
  </bookViews>
  <sheets>
    <sheet name="Dashboard" sheetId="4" r:id="rId1"/>
    <sheet name="Dados" sheetId="1" r:id="rId2"/>
    <sheet name="Tabelas" sheetId="2" state="hidden" r:id="rId3"/>
  </sheets>
  <definedNames>
    <definedName name="_xlnm._FilterDatabase" localSheetId="1" hidden="1">Dados!$A$1:$F$664</definedName>
    <definedName name="NativeTimeline_Mês">#N/A</definedName>
  </definedNames>
  <calcPr calcId="191029"/>
  <pivotCaches>
    <pivotCache cacheId="8" r:id="rId4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5"/>
      </x15:timelineCacheRef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2" i="1"/>
  <c r="C5" i="4"/>
  <c r="C6" i="4"/>
  <c r="C10" i="4" l="1"/>
  <c r="C8" i="4"/>
</calcChain>
</file>

<file path=xl/sharedStrings.xml><?xml version="1.0" encoding="utf-8"?>
<sst xmlns="http://schemas.openxmlformats.org/spreadsheetml/2006/main" count="2034" uniqueCount="41">
  <si>
    <t>Date</t>
  </si>
  <si>
    <t>Fast Food</t>
  </si>
  <si>
    <t>Internet</t>
  </si>
  <si>
    <t>Valor</t>
  </si>
  <si>
    <t>Tipo de Transação</t>
  </si>
  <si>
    <t>Crédito</t>
  </si>
  <si>
    <t>Débito</t>
  </si>
  <si>
    <t>Álcool e Bares</t>
  </si>
  <si>
    <t>Seguro do Automóvel</t>
  </si>
  <si>
    <t>Cafeterias</t>
  </si>
  <si>
    <t>Eletrônicos e Software</t>
  </si>
  <si>
    <t>Entretenimento</t>
  </si>
  <si>
    <t>Restaurantes</t>
  </si>
  <si>
    <t>Combustível</t>
  </si>
  <si>
    <t>Supermercado</t>
  </si>
  <si>
    <t>Corte de Cabelo</t>
  </si>
  <si>
    <t>Reformas na Casa</t>
  </si>
  <si>
    <t>Celular</t>
  </si>
  <si>
    <t>Aluguel e Hipoteca</t>
  </si>
  <si>
    <t>Filmes e DVDs</t>
  </si>
  <si>
    <t>Música</t>
  </si>
  <si>
    <t>Salário</t>
  </si>
  <si>
    <t>Serviços Públicos</t>
  </si>
  <si>
    <t>Categoria</t>
  </si>
  <si>
    <t>Conta</t>
  </si>
  <si>
    <t>Débito à vista</t>
  </si>
  <si>
    <t>Cartão Platina</t>
  </si>
  <si>
    <t>Cartão Prata</t>
  </si>
  <si>
    <t>Mês</t>
  </si>
  <si>
    <t>Row Labels</t>
  </si>
  <si>
    <t>Grand Total</t>
  </si>
  <si>
    <t>Sum of Valor</t>
  </si>
  <si>
    <t>Débito em Conta</t>
  </si>
  <si>
    <t>Controle de Finanças</t>
  </si>
  <si>
    <t xml:space="preserve">  Total de entradas</t>
  </si>
  <si>
    <t xml:space="preserve">  Total de gastos</t>
  </si>
  <si>
    <t>SALDO</t>
  </si>
  <si>
    <t>PORCENTAGEM GASTA</t>
  </si>
  <si>
    <t>Televisão</t>
  </si>
  <si>
    <t>Compras Gerais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</si>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</sst>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R$&quot;\ #,##0.00"/>
    <numFmt numFmtId="165" formatCode="[$-416]mmm\-yy;@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42"/>
      <color theme="3" tint="0.249977111117893"/>
      <name val="Times New Roman"/>
      <family val="1"/>
    </font>
    <font>
      <sz val="11"/>
      <color theme="1"/>
      <name val="Times New Roman"/>
      <family val="1"/>
    </font>
    <font>
      <b/>
      <sz val="18"/>
      <color theme="1"/>
      <name val="Times New Roman"/>
      <family val="1"/>
    </font>
    <font>
      <sz val="18"/>
      <color theme="9"/>
      <name val="Times New Roman"/>
      <family val="1"/>
    </font>
    <font>
      <sz val="14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3" tint="0.89999084444715716"/>
      </bottom>
      <diagonal/>
    </border>
    <border>
      <left style="thin">
        <color theme="3" tint="0.89999084444715716"/>
      </left>
      <right style="thin">
        <color theme="3" tint="0.89999084444715716"/>
      </right>
      <top style="thin">
        <color theme="3" tint="0.89999084444715716"/>
      </top>
      <bottom style="thin">
        <color theme="3" tint="0.89999084444715716"/>
      </bottom>
      <diagonal/>
    </border>
    <border>
      <left style="thin">
        <color theme="3" tint="0.89999084444715716"/>
      </left>
      <right/>
      <top style="thin">
        <color theme="3" tint="0.89999084444715716"/>
      </top>
      <bottom style="thin">
        <color theme="3" tint="0.89999084444715716"/>
      </bottom>
      <diagonal/>
    </border>
    <border>
      <left/>
      <right/>
      <top/>
      <bottom style="thick">
        <color theme="3" tint="0.249977111117893"/>
      </bottom>
      <diagonal/>
    </border>
    <border>
      <left/>
      <right/>
      <top style="thin">
        <color theme="3" tint="0.89999084444715716"/>
      </top>
      <bottom style="thin">
        <color theme="3" tint="0.89999084444715716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6">
    <xf numFmtId="0" fontId="0" fillId="0" borderId="0" xfId="0"/>
    <xf numFmtId="0" fontId="0" fillId="2" borderId="0" xfId="0" applyFill="1"/>
    <xf numFmtId="14" fontId="0" fillId="2" borderId="0" xfId="0" applyNumberFormat="1" applyFill="1"/>
    <xf numFmtId="14" fontId="1" fillId="3" borderId="1" xfId="0" applyNumberFormat="1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0" fillId="3" borderId="0" xfId="0" applyFill="1"/>
    <xf numFmtId="164" fontId="1" fillId="3" borderId="1" xfId="0" applyNumberFormat="1" applyFont="1" applyFill="1" applyBorder="1" applyAlignment="1">
      <alignment horizontal="center" vertical="top"/>
    </xf>
    <xf numFmtId="164" fontId="0" fillId="2" borderId="0" xfId="0" applyNumberFormat="1" applyFill="1"/>
    <xf numFmtId="165" fontId="1" fillId="3" borderId="1" xfId="0" applyNumberFormat="1" applyFont="1" applyFill="1" applyBorder="1" applyAlignment="1">
      <alignment horizontal="center" vertical="top"/>
    </xf>
    <xf numFmtId="165" fontId="0" fillId="2" borderId="0" xfId="0" applyNumberFormat="1" applyFill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 applyAlignment="1">
      <alignment horizontal="left"/>
    </xf>
    <xf numFmtId="164" fontId="0" fillId="0" borderId="0" xfId="0" applyNumberFormat="1"/>
    <xf numFmtId="0" fontId="4" fillId="2" borderId="0" xfId="0" applyFont="1" applyFill="1"/>
    <xf numFmtId="0" fontId="4" fillId="2" borderId="2" xfId="0" applyFont="1" applyFill="1" applyBorder="1"/>
    <xf numFmtId="0" fontId="4" fillId="2" borderId="5" xfId="0" applyFont="1" applyFill="1" applyBorder="1"/>
    <xf numFmtId="0" fontId="3" fillId="2" borderId="5" xfId="0" applyFont="1" applyFill="1" applyBorder="1"/>
    <xf numFmtId="9" fontId="5" fillId="4" borderId="0" xfId="1" applyFont="1" applyFill="1" applyBorder="1" applyAlignment="1">
      <alignment vertical="center"/>
    </xf>
    <xf numFmtId="164" fontId="6" fillId="4" borderId="0" xfId="0" applyNumberFormat="1" applyFont="1" applyFill="1" applyAlignment="1">
      <alignment vertical="center"/>
    </xf>
    <xf numFmtId="0" fontId="7" fillId="2" borderId="2" xfId="0" applyFont="1" applyFill="1" applyBorder="1"/>
    <xf numFmtId="0" fontId="7" fillId="2" borderId="4" xfId="0" applyFont="1" applyFill="1" applyBorder="1"/>
    <xf numFmtId="0" fontId="4" fillId="2" borderId="3" xfId="0" applyFont="1" applyFill="1" applyBorder="1"/>
    <xf numFmtId="164" fontId="7" fillId="2" borderId="6" xfId="1" applyNumberFormat="1" applyFont="1" applyFill="1" applyBorder="1"/>
    <xf numFmtId="0" fontId="5" fillId="4" borderId="0" xfId="0" applyFont="1" applyFill="1" applyAlignment="1">
      <alignment vertical="center"/>
    </xf>
    <xf numFmtId="0" fontId="5" fillId="4" borderId="3" xfId="0" applyFont="1" applyFill="1" applyBorder="1" applyAlignment="1">
      <alignment horizontal="left" vertical="center"/>
    </xf>
  </cellXfs>
  <cellStyles count="2">
    <cellStyle name="Normal" xfId="0" builtinId="0"/>
    <cellStyle name="Percent" xfId="1" builtinId="5"/>
  </cellStyles>
  <dxfs count="13">
    <dxf>
      <font>
        <b/>
        <i val="0"/>
        <sz val="14"/>
        <color theme="1"/>
        <name val="Times New Roman"/>
        <family val="1"/>
      </font>
      <border diagonalUp="0" diagonalDown="0">
        <left/>
        <right/>
        <top/>
        <bottom/>
        <vertical/>
        <horizontal/>
      </border>
    </dxf>
    <dxf>
      <font>
        <color theme="1"/>
        <name val="Times New Roman"/>
        <family val="1"/>
      </font>
      <border diagonalUp="0" diagonalDown="0">
        <left/>
        <right/>
        <top/>
        <bottom/>
        <vertical/>
        <horizontal/>
      </border>
    </dxf>
    <dxf>
      <font>
        <color rgb="FFFF0000"/>
      </font>
    </dxf>
    <dxf>
      <numFmt numFmtId="165" formatCode="[$-416]mmm\-yy;@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64" formatCode="&quot;R$&quot;\ #,##0.00"/>
      <fill>
        <patternFill patternType="solid">
          <fgColor indexed="64"/>
          <bgColor theme="0"/>
        </patternFill>
      </fill>
    </dxf>
    <dxf>
      <numFmt numFmtId="19" formatCode="dd/mm/yyyy"/>
      <fill>
        <patternFill patternType="solid">
          <fgColor indexed="64"/>
          <bgColor theme="0"/>
        </patternFill>
      </fill>
    </dxf>
    <dxf>
      <border outline="0">
        <top style="thin">
          <color auto="1"/>
        </top>
      </border>
    </dxf>
    <dxf>
      <fill>
        <patternFill patternType="solid">
          <fgColor indexed="64"/>
          <bgColor theme="0"/>
        </patternFill>
      </fill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1" defaultTableStyle="TableStyleMedium9" defaultPivotStyle="PivotStyleLight16">
    <tableStyle name="TimeSlicerStyleLight1 2" pivot="0" table="0" count="9" xr9:uid="{8FA999DE-21D8-4207-992B-FA464A21EE59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A0A4C193-F2C1-4fcb-8827-314CF55A85BB}">
      <x15:dxfs count="61">
        <dxf>
          <fill>
            <patternFill patternType="solid">
              <fgColor theme="4" tint="0.39997558519241921"/>
              <bgColor theme="4" tint="0.39997558519241921"/>
            </patternFill>
          </fill>
          <border>
            <vertical/>
            <horizontal/>
          </border>
        </dxf>
        <dxf>
          <fill>
            <gradientFill degree="90">
              <stop position="0">
                <color theme="0" tint="-0.14999847407452621"/>
              </stop>
              <stop position="1">
                <color theme="0" tint="-0.14999847407452621"/>
              </stop>
            </gradientFill>
          </fill>
          <border>
            <vertical/>
            <horizontal/>
          </border>
        </dxf>
        <dxf>
          <fill>
            <gradientFill degree="90">
              <stop position="0">
                <color theme="4" tint="0.59999389629810485"/>
              </stop>
              <stop position="1">
                <color theme="4"/>
              </stop>
            </gradientFill>
          </fill>
          <border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10"/>
            <color theme="4" tint="-0.249977111117893"/>
          </font>
          <border>
            <left/>
            <right/>
            <top/>
            <bottom/>
            <vertical/>
            <horizontal/>
          </border>
        </dxf>
        <dxf>
          <fill>
            <patternFill patternType="solid">
              <fgColor theme="4" tint="0.39997558519241921"/>
              <bgColor theme="4" tint="0.39997558519241921"/>
            </patternFill>
          </fill>
          <border>
            <vertical/>
            <horizontal/>
          </border>
        </dxf>
        <dxf>
          <fill>
            <gradientFill degree="90">
              <stop position="0">
                <color theme="0" tint="-0.14999847407452621"/>
              </stop>
              <stop position="1">
                <color theme="0" tint="-0.14999847407452621"/>
              </stop>
            </gradientFill>
          </fill>
          <border>
            <vertical/>
            <horizontal/>
          </border>
        </dxf>
        <dxf>
          <fill>
            <gradientFill degree="90">
              <stop position="0">
                <color theme="4" tint="0.59999389629810485"/>
              </stop>
              <stop position="1">
                <color theme="4"/>
              </stop>
            </gradientFill>
          </fill>
          <border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10"/>
            <color theme="4" tint="-0.249977111117893"/>
          </font>
          <border>
            <left/>
            <right/>
            <top/>
            <bottom/>
            <vertical/>
            <horizontal/>
          </border>
        </dxf>
        <dxf>
          <fill>
            <patternFill patternType="solid">
              <fgColor theme="4" tint="0.39997558519241921"/>
              <bgColor theme="4" tint="0.39997558519241921"/>
            </patternFill>
          </fill>
          <border>
            <vertical/>
            <horizontal/>
          </border>
        </dxf>
        <dxf>
          <fill>
            <gradientFill degree="90">
              <stop position="0">
                <color theme="0" tint="-0.14999847407452621"/>
              </stop>
              <stop position="1">
                <color theme="0" tint="-0.14999847407452621"/>
              </stop>
            </gradientFill>
          </fill>
          <border>
            <vertical/>
            <horizontal/>
          </border>
        </dxf>
        <dxf>
          <fill>
            <gradientFill degree="90">
              <stop position="0">
                <color theme="4" tint="0.59999389629810485"/>
              </stop>
              <stop position="1">
                <color theme="4"/>
              </stop>
            </gradientFill>
          </fill>
          <border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10"/>
            <color theme="4" tint="-0.249977111117893"/>
          </font>
          <border>
            <left/>
            <right/>
            <top/>
            <bottom/>
            <vertical/>
            <horizontal/>
          </border>
        </dxf>
        <dxf>
          <fill>
            <patternFill patternType="solid">
              <fgColor theme="4" tint="0.39997558519241921"/>
              <bgColor theme="4" tint="0.39997558519241921"/>
            </patternFill>
          </fill>
          <border>
            <vertical/>
            <horizontal/>
          </border>
        </dxf>
        <dxf>
          <fill>
            <gradientFill degree="90">
              <stop position="0">
                <color theme="0" tint="-0.14999847407452621"/>
              </stop>
              <stop position="1">
                <color theme="0" tint="-0.14999847407452621"/>
              </stop>
            </gradientFill>
          </fill>
          <border>
            <vertical/>
            <horizontal/>
          </border>
        </dxf>
        <dxf>
          <fill>
            <gradientFill degree="90">
              <stop position="0">
                <color theme="4" tint="0.59999389629810485"/>
              </stop>
              <stop position="1">
                <color theme="4"/>
              </stop>
            </gradientFill>
          </fill>
          <border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10"/>
            <color theme="4" tint="-0.249977111117893"/>
          </font>
          <border>
            <left/>
            <right/>
            <top/>
            <bottom/>
            <vertical/>
            <horizontal/>
          </border>
        </dxf>
        <dxf>
          <fill>
            <patternFill patternType="solid">
              <fgColor theme="4" tint="0.39997558519241921"/>
              <bgColor theme="4" tint="0.39997558519241921"/>
            </patternFill>
          </fill>
          <border>
            <vertical/>
            <horizontal/>
          </border>
        </dxf>
        <dxf>
          <fill>
            <gradientFill degree="90">
              <stop position="0">
                <color theme="0" tint="-0.14999847407452621"/>
              </stop>
              <stop position="1">
                <color theme="0" tint="-0.14999847407452621"/>
              </stop>
            </gradientFill>
          </fill>
          <border>
            <vertical/>
            <horizontal/>
          </border>
        </dxf>
        <dxf>
          <fill>
            <gradientFill degree="90">
              <stop position="0">
                <color theme="4" tint="0.59999389629810485"/>
              </stop>
              <stop position="1">
                <color theme="4"/>
              </stop>
            </gradientFill>
          </fill>
          <border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10"/>
            <color theme="4" tint="-0.249977111117893"/>
          </font>
          <border>
            <left/>
            <right/>
            <top/>
            <bottom/>
            <vertical/>
            <horizontal/>
          </border>
        </dxf>
        <dxf>
          <fill>
            <patternFill patternType="solid">
              <fgColor theme="4" tint="0.39997558519241921"/>
              <bgColor theme="4" tint="0.39997558519241921"/>
            </patternFill>
          </fill>
          <border>
            <vertical/>
            <horizontal/>
          </border>
        </dxf>
        <dxf>
          <fill>
            <gradientFill degree="90">
              <stop position="0">
                <color theme="0" tint="-0.14999847407452621"/>
              </stop>
              <stop position="1">
                <color theme="0" tint="-0.14999847407452621"/>
              </stop>
            </gradientFill>
          </fill>
          <border>
            <vertical/>
            <horizontal/>
          </border>
        </dxf>
        <dxf>
          <fill>
            <gradientFill degree="90">
              <stop position="0">
                <color theme="4" tint="0.59999389629810485"/>
              </stop>
              <stop position="1">
                <color theme="4"/>
              </stop>
            </gradientFill>
          </fill>
          <border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10"/>
            <color theme="4" tint="-0.249977111117893"/>
          </font>
          <border>
            <left/>
            <right/>
            <top/>
            <bottom/>
            <vertical/>
            <horizontal/>
          </border>
        </dxf>
        <dxf>
          <fill>
            <patternFill patternType="solid">
              <fgColor theme="4" tint="0.39997558519241921"/>
              <bgColor theme="4" tint="0.39997558519241921"/>
            </patternFill>
          </fill>
          <border>
            <vertical/>
            <horizontal/>
          </border>
        </dxf>
        <dxf>
          <fill>
            <gradientFill degree="90">
              <stop position="0">
                <color theme="0" tint="-0.14999847407452621"/>
              </stop>
              <stop position="1">
                <color theme="0" tint="-0.14999847407452621"/>
              </stop>
            </gradientFill>
          </fill>
          <border>
            <vertical/>
            <horizontal/>
          </border>
        </dxf>
        <dxf>
          <fill>
            <gradientFill degree="90">
              <stop position="0">
                <color theme="4" tint="0.59999389629810485"/>
              </stop>
              <stop position="1">
                <color theme="4"/>
              </stop>
            </gradientFill>
          </fill>
          <border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10"/>
            <color theme="4" tint="-0.249977111117893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TimeSlicerStyleLight1 2">
          <x15:timelineStyleElements>
            <x15:timelineStyleElement type="selectionLabel" dxfId="6"/>
            <x15:timelineStyleElement type="timeLevel" dxfId="5"/>
            <x15:timelineStyleElement type="periodLabel1" dxfId="4"/>
            <x15:timelineStyleElement type="periodLabel2" dxfId="3"/>
            <x15:timelineStyleElement type="selectedTimeBlock" dxfId="2"/>
            <x15:timelineStyleElement type="unselectedTimeBlock" dxfId="1"/>
            <x15:timelineStyleElement type="selectedTimeBlockSpace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11/relationships/timelineCache" Target="timelineCaches/timelineCach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[Controle Financeiro.xlsx]Tabelas!PivotTable6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>
                <a:latin typeface="Times New Roman" panose="02020603050405020304" pitchFamily="18" charset="0"/>
                <a:cs typeface="Times New Roman" panose="02020603050405020304" pitchFamily="18" charset="0"/>
              </a:rPr>
              <a:t>5 Maiores</a:t>
            </a:r>
            <a:r>
              <a:rPr lang="en-US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Gastos do Mês</a:t>
            </a:r>
          </a:p>
        </c:rich>
      </c:tx>
      <c:layout>
        <c:manualLayout>
          <c:xMode val="edge"/>
          <c:yMode val="edge"/>
          <c:x val="0.31028340080971661"/>
          <c:y val="2.27920227920227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Tabelas!$B$3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Tabelas!$A$4:$A$9</c:f>
              <c:strCache>
                <c:ptCount val="5"/>
                <c:pt idx="0">
                  <c:v>Aluguel e Hipoteca</c:v>
                </c:pt>
                <c:pt idx="1">
                  <c:v>Restaurantes</c:v>
                </c:pt>
                <c:pt idx="2">
                  <c:v>Serviços Públicos</c:v>
                </c:pt>
                <c:pt idx="3">
                  <c:v>Compras Gerais</c:v>
                </c:pt>
                <c:pt idx="4">
                  <c:v>Celular</c:v>
                </c:pt>
              </c:strCache>
            </c:strRef>
          </c:cat>
          <c:val>
            <c:numRef>
              <c:f>Tabelas!$B$4:$B$9</c:f>
              <c:numCache>
                <c:formatCode>"R$"\ #,##0.00</c:formatCode>
                <c:ptCount val="5"/>
                <c:pt idx="0">
                  <c:v>1247.44</c:v>
                </c:pt>
                <c:pt idx="1">
                  <c:v>156.80000000000001</c:v>
                </c:pt>
                <c:pt idx="2">
                  <c:v>140</c:v>
                </c:pt>
                <c:pt idx="3">
                  <c:v>100.37</c:v>
                </c:pt>
                <c:pt idx="4">
                  <c:v>89.46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8B-40AD-B586-ED94A2AF1D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0385376"/>
        <c:axId val="560393536"/>
      </c:barChart>
      <c:catAx>
        <c:axId val="560385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0393536"/>
        <c:crosses val="autoZero"/>
        <c:auto val="1"/>
        <c:lblAlgn val="ctr"/>
        <c:lblOffset val="100"/>
        <c:noMultiLvlLbl val="0"/>
      </c:catAx>
      <c:valAx>
        <c:axId val="560393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038537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noFill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solidFill>
          <a:schemeClr val="tx2">
            <a:lumMod val="10000"/>
            <a:lumOff val="90000"/>
          </a:schemeClr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[Controle Financeiro.xlsx]Tabelas!PivotTable9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>
                <a:latin typeface="Times New Roman" panose="02020603050405020304" pitchFamily="18" charset="0"/>
                <a:cs typeface="Times New Roman" panose="02020603050405020304" pitchFamily="18" charset="0"/>
              </a:rPr>
              <a:t>Gastos</a:t>
            </a:r>
            <a:r>
              <a:rPr lang="en-US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por 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Tabelas!$K$3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Tabelas!$J$4:$J$25</c:f>
              <c:strCache>
                <c:ptCount val="21"/>
                <c:pt idx="0">
                  <c:v>jan-18</c:v>
                </c:pt>
                <c:pt idx="1">
                  <c:v>fev-18</c:v>
                </c:pt>
                <c:pt idx="2">
                  <c:v>mar-18</c:v>
                </c:pt>
                <c:pt idx="3">
                  <c:v>abr-18</c:v>
                </c:pt>
                <c:pt idx="4">
                  <c:v>mai-18</c:v>
                </c:pt>
                <c:pt idx="5">
                  <c:v>jun-18</c:v>
                </c:pt>
                <c:pt idx="6">
                  <c:v>jul-18</c:v>
                </c:pt>
                <c:pt idx="7">
                  <c:v>ago-18</c:v>
                </c:pt>
                <c:pt idx="8">
                  <c:v>set-18</c:v>
                </c:pt>
                <c:pt idx="9">
                  <c:v>out-18</c:v>
                </c:pt>
                <c:pt idx="10">
                  <c:v>nov-18</c:v>
                </c:pt>
                <c:pt idx="11">
                  <c:v>dez-18</c:v>
                </c:pt>
                <c:pt idx="12">
                  <c:v>jan-19</c:v>
                </c:pt>
                <c:pt idx="13">
                  <c:v>fev-19</c:v>
                </c:pt>
                <c:pt idx="14">
                  <c:v>mar-19</c:v>
                </c:pt>
                <c:pt idx="15">
                  <c:v>abr-19</c:v>
                </c:pt>
                <c:pt idx="16">
                  <c:v>mai-19</c:v>
                </c:pt>
                <c:pt idx="17">
                  <c:v>jun-19</c:v>
                </c:pt>
                <c:pt idx="18">
                  <c:v>jul-19</c:v>
                </c:pt>
                <c:pt idx="19">
                  <c:v>ago-19</c:v>
                </c:pt>
                <c:pt idx="20">
                  <c:v>set-19</c:v>
                </c:pt>
              </c:strCache>
            </c:strRef>
          </c:cat>
          <c:val>
            <c:numRef>
              <c:f>Tabelas!$K$4:$K$25</c:f>
              <c:numCache>
                <c:formatCode>"R$"\ #,##0.00</c:formatCode>
                <c:ptCount val="21"/>
                <c:pt idx="0">
                  <c:v>2066.65</c:v>
                </c:pt>
                <c:pt idx="1">
                  <c:v>2089.4400000000005</c:v>
                </c:pt>
                <c:pt idx="2">
                  <c:v>2178.66</c:v>
                </c:pt>
                <c:pt idx="3">
                  <c:v>2862.66</c:v>
                </c:pt>
                <c:pt idx="4">
                  <c:v>10507.560000000001</c:v>
                </c:pt>
                <c:pt idx="5">
                  <c:v>2115.0500000000002</c:v>
                </c:pt>
                <c:pt idx="6">
                  <c:v>2302.6400000000003</c:v>
                </c:pt>
                <c:pt idx="7">
                  <c:v>1992.6800000000005</c:v>
                </c:pt>
                <c:pt idx="8">
                  <c:v>2314.7400000000002</c:v>
                </c:pt>
                <c:pt idx="9">
                  <c:v>2242.37</c:v>
                </c:pt>
                <c:pt idx="10">
                  <c:v>2118.150000000001</c:v>
                </c:pt>
                <c:pt idx="11">
                  <c:v>2652.9400000000005</c:v>
                </c:pt>
                <c:pt idx="12">
                  <c:v>1736.4299999999998</c:v>
                </c:pt>
                <c:pt idx="13">
                  <c:v>1954.6</c:v>
                </c:pt>
                <c:pt idx="14">
                  <c:v>2142.59</c:v>
                </c:pt>
                <c:pt idx="15">
                  <c:v>1966.8700000000003</c:v>
                </c:pt>
                <c:pt idx="16">
                  <c:v>2253.4100000000003</c:v>
                </c:pt>
                <c:pt idx="17">
                  <c:v>10912.38</c:v>
                </c:pt>
                <c:pt idx="18">
                  <c:v>2551.1200000000008</c:v>
                </c:pt>
                <c:pt idx="19">
                  <c:v>2043.2000000000003</c:v>
                </c:pt>
                <c:pt idx="20">
                  <c:v>2038.28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A1-4281-ACDB-E67D1C7952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0393056"/>
        <c:axId val="560401696"/>
      </c:lineChart>
      <c:catAx>
        <c:axId val="560393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0401696"/>
        <c:crosses val="autoZero"/>
        <c:auto val="1"/>
        <c:lblAlgn val="ctr"/>
        <c:lblOffset val="100"/>
        <c:noMultiLvlLbl val="0"/>
      </c:catAx>
      <c:valAx>
        <c:axId val="560401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0393056"/>
        <c:crosses val="autoZero"/>
        <c:crossBetween val="between"/>
      </c:valAx>
      <c:spPr>
        <a:solidFill>
          <a:schemeClr val="tx2">
            <a:lumMod val="10000"/>
            <a:lumOff val="90000"/>
          </a:schemeClr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[Controle Financeiro.xlsx]Tabelas!PivotTable10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>
                <a:latin typeface="Times New Roman" panose="02020603050405020304" pitchFamily="18" charset="0"/>
                <a:cs typeface="Times New Roman" panose="02020603050405020304" pitchFamily="18" charset="0"/>
              </a:rPr>
              <a:t>Gastos por</a:t>
            </a:r>
            <a:r>
              <a:rPr lang="en-US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Conta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Tabelas!$N$3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Tabelas!$M$4:$M$7</c:f>
              <c:strCache>
                <c:ptCount val="3"/>
                <c:pt idx="0">
                  <c:v>Cartão Platina</c:v>
                </c:pt>
                <c:pt idx="1">
                  <c:v>Cartão Prata</c:v>
                </c:pt>
                <c:pt idx="2">
                  <c:v>Débito em Conta</c:v>
                </c:pt>
              </c:strCache>
            </c:strRef>
          </c:cat>
          <c:val>
            <c:numRef>
              <c:f>Tabelas!$N$4:$N$7</c:f>
              <c:numCache>
                <c:formatCode>"R$"\ #,##0.00</c:formatCode>
                <c:ptCount val="3"/>
                <c:pt idx="0">
                  <c:v>254.76000000000002</c:v>
                </c:pt>
                <c:pt idx="1">
                  <c:v>265</c:v>
                </c:pt>
                <c:pt idx="2">
                  <c:v>1546.89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22-4CBA-8642-9A0266616A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0291296"/>
        <c:axId val="560296096"/>
      </c:barChart>
      <c:catAx>
        <c:axId val="56029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0296096"/>
        <c:crosses val="autoZero"/>
        <c:auto val="1"/>
        <c:lblAlgn val="ctr"/>
        <c:lblOffset val="100"/>
        <c:noMultiLvlLbl val="0"/>
      </c:catAx>
      <c:valAx>
        <c:axId val="560296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0291296"/>
        <c:crosses val="autoZero"/>
        <c:crossBetween val="between"/>
      </c:valAx>
      <c:spPr>
        <a:solidFill>
          <a:schemeClr val="tx2">
            <a:lumMod val="10000"/>
            <a:lumOff val="90000"/>
          </a:schemeClr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180976</xdr:colOff>
      <xdr:row>3</xdr:row>
      <xdr:rowOff>9526</xdr:rowOff>
    </xdr:from>
    <xdr:to>
      <xdr:col>11</xdr:col>
      <xdr:colOff>9526</xdr:colOff>
      <xdr:row>10</xdr:row>
      <xdr:rowOff>38101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02BA75D-150D-4B39-A626-730A2C1069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209550</xdr:colOff>
      <xdr:row>3</xdr:row>
      <xdr:rowOff>0</xdr:rowOff>
    </xdr:from>
    <xdr:to>
      <xdr:col>15</xdr:col>
      <xdr:colOff>914399</xdr:colOff>
      <xdr:row>6</xdr:row>
      <xdr:rowOff>66675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4" name="Mês 1">
              <a:extLst>
                <a:ext uri="{FF2B5EF4-FFF2-40B4-BE49-F238E27FC236}">
                  <a16:creationId xmlns:a16="http://schemas.microsoft.com/office/drawing/2014/main" id="{19C79DC6-F699-4B38-944C-C882F7E9730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Mês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010775" y="1238250"/>
              <a:ext cx="3143249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  <xdr:twoCellAnchor>
    <xdr:from>
      <xdr:col>0</xdr:col>
      <xdr:colOff>133349</xdr:colOff>
      <xdr:row>11</xdr:row>
      <xdr:rowOff>66674</xdr:rowOff>
    </xdr:from>
    <xdr:to>
      <xdr:col>15</xdr:col>
      <xdr:colOff>838199</xdr:colOff>
      <xdr:row>21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3A83345-02F0-4A96-A6B6-1CA76E1A64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152400</xdr:colOff>
      <xdr:row>6</xdr:row>
      <xdr:rowOff>123825</xdr:rowOff>
    </xdr:from>
    <xdr:to>
      <xdr:col>15</xdr:col>
      <xdr:colOff>895350</xdr:colOff>
      <xdr:row>10</xdr:row>
      <xdr:rowOff>57150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A053791-5CD0-4E1E-B89B-0460D4B59D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Willian Rodrigues" refreshedDate="46142.575496874997" createdVersion="8" refreshedVersion="8" minRefreshableVersion="3" recordCount="663" xr:uid="{B228758F-3664-4E33-AE57-FAC6FAAFC7C8}">
  <cacheSource type="worksheet">
    <worksheetSource name="Table1"/>
  </cacheSource>
  <cacheFields count="12">
    <cacheField name="Date" numFmtId="14">
      <sharedItems containsSemiMixedTypes="0" containsNonDate="0" containsDate="1" containsString="0" minDate="2018-01-01T00:00:00" maxDate="2019-10-01T00:00:00" count="403">
        <d v="2018-01-01T00:00:00"/>
        <d v="2018-01-02T00:00:00"/>
        <d v="2018-01-04T00:00:00"/>
        <d v="2018-01-05T00:00:00"/>
        <d v="2018-01-06T00:00:00"/>
        <d v="2018-01-08T00:00:00"/>
        <d v="2018-01-09T00:00:00"/>
        <d v="2018-01-10T00:00:00"/>
        <d v="2018-01-11T00:00:00"/>
        <d v="2018-01-12T00:00:00"/>
        <d v="2018-01-13T00:00:00"/>
        <d v="2018-01-15T00:00:00"/>
        <d v="2018-01-16T00:00:00"/>
        <d v="2018-01-19T00:00:00"/>
        <d v="2018-01-20T00:00:00"/>
        <d v="2018-01-22T00:00:00"/>
        <d v="2018-01-24T00:00:00"/>
        <d v="2018-01-25T00:00:00"/>
        <d v="2018-01-29T00:00:00"/>
        <d v="2018-02-01T00:00:00"/>
        <d v="2018-02-02T00:00:00"/>
        <d v="2018-02-03T00:00:00"/>
        <d v="2018-02-04T00:00:00"/>
        <d v="2018-02-07T00:00:00"/>
        <d v="2018-02-09T00:00:00"/>
        <d v="2018-02-10T00:00:00"/>
        <d v="2018-02-11T00:00:00"/>
        <d v="2018-02-12T00:00:00"/>
        <d v="2018-02-14T00:00:00"/>
        <d v="2018-02-15T00:00:00"/>
        <d v="2018-02-16T00:00:00"/>
        <d v="2018-02-20T00:00:00"/>
        <d v="2018-02-21T00:00:00"/>
        <d v="2018-02-22T00:00:00"/>
        <d v="2018-02-26T00:00:00"/>
        <d v="2018-03-01T00:00:00"/>
        <d v="2018-03-02T00:00:00"/>
        <d v="2018-03-03T00:00:00"/>
        <d v="2018-03-04T00:00:00"/>
        <d v="2018-03-05T00:00:00"/>
        <d v="2018-03-07T00:00:00"/>
        <d v="2018-03-08T00:00:00"/>
        <d v="2018-03-09T00:00:00"/>
        <d v="2018-03-12T00:00:00"/>
        <d v="2018-03-13T00:00:00"/>
        <d v="2018-03-14T00:00:00"/>
        <d v="2018-03-15T00:00:00"/>
        <d v="2018-03-16T00:00:00"/>
        <d v="2018-03-17T00:00:00"/>
        <d v="2018-03-19T00:00:00"/>
        <d v="2018-03-20T00:00:00"/>
        <d v="2018-03-22T00:00:00"/>
        <d v="2018-03-23T00:00:00"/>
        <d v="2018-03-26T00:00:00"/>
        <d v="2018-03-28T00:00:00"/>
        <d v="2018-03-29T00:00:00"/>
        <d v="2018-03-30T00:00:00"/>
        <d v="2018-03-31T00:00:00"/>
        <d v="2018-04-01T00:00:00"/>
        <d v="2018-04-02T00:00:00"/>
        <d v="2018-04-03T00:00:00"/>
        <d v="2018-04-04T00:00:00"/>
        <d v="2018-04-06T00:00:00"/>
        <d v="2018-04-08T00:00:00"/>
        <d v="2018-04-09T00:00:00"/>
        <d v="2018-04-11T00:00:00"/>
        <d v="2018-04-12T00:00:00"/>
        <d v="2018-04-13T00:00:00"/>
        <d v="2018-04-14T00:00:00"/>
        <d v="2018-04-16T00:00:00"/>
        <d v="2018-04-18T00:00:00"/>
        <d v="2018-04-20T00:00:00"/>
        <d v="2018-04-21T00:00:00"/>
        <d v="2018-04-22T00:00:00"/>
        <d v="2018-04-23T00:00:00"/>
        <d v="2018-04-24T00:00:00"/>
        <d v="2018-04-25T00:00:00"/>
        <d v="2018-04-27T00:00:00"/>
        <d v="2018-04-28T00:00:00"/>
        <d v="2018-04-29T00:00:00"/>
        <d v="2018-04-30T00:00:00"/>
        <d v="2018-05-01T00:00:00"/>
        <d v="2018-05-02T00:00:00"/>
        <d v="2018-05-03T00:00:00"/>
        <d v="2018-05-04T00:00:00"/>
        <d v="2018-05-05T00:00:00"/>
        <d v="2018-05-06T00:00:00"/>
        <d v="2018-05-09T00:00:00"/>
        <d v="2018-05-10T00:00:00"/>
        <d v="2018-05-11T00:00:00"/>
        <d v="2018-05-12T00:00:00"/>
        <d v="2018-05-14T00:00:00"/>
        <d v="2018-05-15T00:00:00"/>
        <d v="2018-05-17T00:00:00"/>
        <d v="2018-05-18T00:00:00"/>
        <d v="2018-05-19T00:00:00"/>
        <d v="2018-05-21T00:00:00"/>
        <d v="2018-05-24T00:00:00"/>
        <d v="2018-05-25T00:00:00"/>
        <d v="2018-05-28T00:00:00"/>
        <d v="2018-05-29T00:00:00"/>
        <d v="2018-06-01T00:00:00"/>
        <d v="2018-06-03T00:00:00"/>
        <d v="2018-06-04T00:00:00"/>
        <d v="2018-06-06T00:00:00"/>
        <d v="2018-06-08T00:00:00"/>
        <d v="2018-06-09T00:00:00"/>
        <d v="2018-06-10T00:00:00"/>
        <d v="2018-06-12T00:00:00"/>
        <d v="2018-06-14T00:00:00"/>
        <d v="2018-06-15T00:00:00"/>
        <d v="2018-06-16T00:00:00"/>
        <d v="2018-06-18T00:00:00"/>
        <d v="2018-06-19T00:00:00"/>
        <d v="2018-06-20T00:00:00"/>
        <d v="2018-06-22T00:00:00"/>
        <d v="2018-06-23T00:00:00"/>
        <d v="2018-06-25T00:00:00"/>
        <d v="2018-06-26T00:00:00"/>
        <d v="2018-06-27T00:00:00"/>
        <d v="2018-06-28T00:00:00"/>
        <d v="2018-07-01T00:00:00"/>
        <d v="2018-07-02T00:00:00"/>
        <d v="2018-07-04T00:00:00"/>
        <d v="2018-07-05T00:00:00"/>
        <d v="2018-07-06T00:00:00"/>
        <d v="2018-07-09T00:00:00"/>
        <d v="2018-07-10T00:00:00"/>
        <d v="2018-07-11T00:00:00"/>
        <d v="2018-07-14T00:00:00"/>
        <d v="2018-07-15T00:00:00"/>
        <d v="2018-07-17T00:00:00"/>
        <d v="2018-07-18T00:00:00"/>
        <d v="2018-07-20T00:00:00"/>
        <d v="2018-07-21T00:00:00"/>
        <d v="2018-07-23T00:00:00"/>
        <d v="2018-07-24T00:00:00"/>
        <d v="2018-07-25T00:00:00"/>
        <d v="2018-07-26T00:00:00"/>
        <d v="2018-07-28T00:00:00"/>
        <d v="2018-07-30T00:00:00"/>
        <d v="2018-07-31T00:00:00"/>
        <d v="2018-08-01T00:00:00"/>
        <d v="2018-08-02T00:00:00"/>
        <d v="2018-08-03T00:00:00"/>
        <d v="2018-08-04T00:00:00"/>
        <d v="2018-08-06T00:00:00"/>
        <d v="2018-08-09T00:00:00"/>
        <d v="2018-08-10T00:00:00"/>
        <d v="2018-08-11T00:00:00"/>
        <d v="2018-08-15T00:00:00"/>
        <d v="2018-08-16T00:00:00"/>
        <d v="2018-08-17T00:00:00"/>
        <d v="2018-08-18T00:00:00"/>
        <d v="2018-08-20T00:00:00"/>
        <d v="2018-08-24T00:00:00"/>
        <d v="2018-08-27T00:00:00"/>
        <d v="2018-08-30T00:00:00"/>
        <d v="2018-08-31T00:00:00"/>
        <d v="2018-09-01T00:00:00"/>
        <d v="2018-09-02T00:00:00"/>
        <d v="2018-09-04T00:00:00"/>
        <d v="2018-09-07T00:00:00"/>
        <d v="2018-09-09T00:00:00"/>
        <d v="2018-09-11T00:00:00"/>
        <d v="2018-09-12T00:00:00"/>
        <d v="2018-09-13T00:00:00"/>
        <d v="2018-09-14T00:00:00"/>
        <d v="2018-09-17T00:00:00"/>
        <d v="2018-09-18T00:00:00"/>
        <d v="2018-09-19T00:00:00"/>
        <d v="2018-09-20T00:00:00"/>
        <d v="2018-09-22T00:00:00"/>
        <d v="2018-09-25T00:00:00"/>
        <d v="2018-09-26T00:00:00"/>
        <d v="2018-09-27T00:00:00"/>
        <d v="2018-09-28T00:00:00"/>
        <d v="2018-09-29T00:00:00"/>
        <d v="2018-10-01T00:00:00"/>
        <d v="2018-10-02T00:00:00"/>
        <d v="2018-10-04T00:00:00"/>
        <d v="2018-10-06T00:00:00"/>
        <d v="2018-10-08T00:00:00"/>
        <d v="2018-10-09T00:00:00"/>
        <d v="2018-10-10T00:00:00"/>
        <d v="2018-10-11T00:00:00"/>
        <d v="2018-10-12T00:00:00"/>
        <d v="2018-10-16T00:00:00"/>
        <d v="2018-10-17T00:00:00"/>
        <d v="2018-10-18T00:00:00"/>
        <d v="2018-10-22T00:00:00"/>
        <d v="2018-10-23T00:00:00"/>
        <d v="2018-10-25T00:00:00"/>
        <d v="2018-10-26T00:00:00"/>
        <d v="2018-10-27T00:00:00"/>
        <d v="2018-10-28T00:00:00"/>
        <d v="2018-10-31T00:00:00"/>
        <d v="2018-11-01T00:00:00"/>
        <d v="2018-11-02T00:00:00"/>
        <d v="2018-11-03T00:00:00"/>
        <d v="2018-11-04T00:00:00"/>
        <d v="2018-11-05T00:00:00"/>
        <d v="2018-11-06T00:00:00"/>
        <d v="2018-11-08T00:00:00"/>
        <d v="2018-11-09T00:00:00"/>
        <d v="2018-11-10T00:00:00"/>
        <d v="2018-11-12T00:00:00"/>
        <d v="2018-11-13T00:00:00"/>
        <d v="2018-11-14T00:00:00"/>
        <d v="2018-11-16T00:00:00"/>
        <d v="2018-11-17T00:00:00"/>
        <d v="2018-11-19T00:00:00"/>
        <d v="2018-11-20T00:00:00"/>
        <d v="2018-11-21T00:00:00"/>
        <d v="2018-11-23T00:00:00"/>
        <d v="2018-11-26T00:00:00"/>
        <d v="2018-11-27T00:00:00"/>
        <d v="2018-11-30T00:00:00"/>
        <d v="2018-12-01T00:00:00"/>
        <d v="2018-12-03T00:00:00"/>
        <d v="2018-12-04T00:00:00"/>
        <d v="2018-12-06T00:00:00"/>
        <d v="2018-12-07T00:00:00"/>
        <d v="2018-12-08T00:00:00"/>
        <d v="2018-12-09T00:00:00"/>
        <d v="2018-12-11T00:00:00"/>
        <d v="2018-12-12T00:00:00"/>
        <d v="2018-12-13T00:00:00"/>
        <d v="2018-12-14T00:00:00"/>
        <d v="2018-12-17T00:00:00"/>
        <d v="2018-12-18T00:00:00"/>
        <d v="2018-12-19T00:00:00"/>
        <d v="2018-12-20T00:00:00"/>
        <d v="2018-12-21T00:00:00"/>
        <d v="2018-12-22T00:00:00"/>
        <d v="2018-12-23T00:00:00"/>
        <d v="2018-12-24T00:00:00"/>
        <d v="2018-12-26T00:00:00"/>
        <d v="2018-12-28T00:00:00"/>
        <d v="2018-12-29T00:00:00"/>
        <d v="2019-01-01T00:00:00"/>
        <d v="2019-01-03T00:00:00"/>
        <d v="2019-01-04T00:00:00"/>
        <d v="2019-01-05T00:00:00"/>
        <d v="2019-01-08T00:00:00"/>
        <d v="2019-01-09T00:00:00"/>
        <d v="2019-01-10T00:00:00"/>
        <d v="2019-01-14T00:00:00"/>
        <d v="2019-01-15T00:00:00"/>
        <d v="2019-01-16T00:00:00"/>
        <d v="2019-01-18T00:00:00"/>
        <d v="2019-01-24T00:00:00"/>
        <d v="2019-01-25T00:00:00"/>
        <d v="2019-01-31T00:00:00"/>
        <d v="2019-02-01T00:00:00"/>
        <d v="2019-02-04T00:00:00"/>
        <d v="2019-02-05T00:00:00"/>
        <d v="2019-02-07T00:00:00"/>
        <d v="2019-02-08T00:00:00"/>
        <d v="2019-02-09T00:00:00"/>
        <d v="2019-02-11T00:00:00"/>
        <d v="2019-02-12T00:00:00"/>
        <d v="2019-02-13T00:00:00"/>
        <d v="2019-02-15T00:00:00"/>
        <d v="2019-02-16T00:00:00"/>
        <d v="2019-02-19T00:00:00"/>
        <d v="2019-02-20T00:00:00"/>
        <d v="2019-02-21T00:00:00"/>
        <d v="2019-02-25T00:00:00"/>
        <d v="2019-02-27T00:00:00"/>
        <d v="2019-02-28T00:00:00"/>
        <d v="2019-03-01T00:00:00"/>
        <d v="2019-03-04T00:00:00"/>
        <d v="2019-03-05T00:00:00"/>
        <d v="2019-03-08T00:00:00"/>
        <d v="2019-03-09T00:00:00"/>
        <d v="2019-03-12T00:00:00"/>
        <d v="2019-03-14T00:00:00"/>
        <d v="2019-03-15T00:00:00"/>
        <d v="2019-03-18T00:00:00"/>
        <d v="2019-03-19T00:00:00"/>
        <d v="2019-03-20T00:00:00"/>
        <d v="2019-03-22T00:00:00"/>
        <d v="2019-03-23T00:00:00"/>
        <d v="2019-03-25T00:00:00"/>
        <d v="2019-03-26T00:00:00"/>
        <d v="2019-03-27T00:00:00"/>
        <d v="2019-03-29T00:00:00"/>
        <d v="2019-03-30T00:00:00"/>
        <d v="2019-04-01T00:00:00"/>
        <d v="2019-04-02T00:00:00"/>
        <d v="2019-04-04T00:00:00"/>
        <d v="2019-04-06T00:00:00"/>
        <d v="2019-04-08T00:00:00"/>
        <d v="2019-04-09T00:00:00"/>
        <d v="2019-04-10T00:00:00"/>
        <d v="2019-04-12T00:00:00"/>
        <d v="2019-04-13T00:00:00"/>
        <d v="2019-04-15T00:00:00"/>
        <d v="2019-04-16T00:00:00"/>
        <d v="2019-04-18T00:00:00"/>
        <d v="2019-04-19T00:00:00"/>
        <d v="2019-04-22T00:00:00"/>
        <d v="2019-04-23T00:00:00"/>
        <d v="2019-04-25T00:00:00"/>
        <d v="2019-04-26T00:00:00"/>
        <d v="2019-04-27T00:00:00"/>
        <d v="2019-04-29T00:00:00"/>
        <d v="2019-04-30T00:00:00"/>
        <d v="2019-05-01T00:00:00"/>
        <d v="2019-05-02T00:00:00"/>
        <d v="2019-05-04T00:00:00"/>
        <d v="2019-05-06T00:00:00"/>
        <d v="2019-05-07T00:00:00"/>
        <d v="2019-05-09T00:00:00"/>
        <d v="2019-05-10T00:00:00"/>
        <d v="2019-05-13T00:00:00"/>
        <d v="2019-05-14T00:00:00"/>
        <d v="2019-05-15T00:00:00"/>
        <d v="2019-05-17T00:00:00"/>
        <d v="2019-05-20T00:00:00"/>
        <d v="2019-05-24T00:00:00"/>
        <d v="2019-05-25T00:00:00"/>
        <d v="2019-05-27T00:00:00"/>
        <d v="2019-05-30T00:00:00"/>
        <d v="2019-06-01T00:00:00"/>
        <d v="2019-06-03T00:00:00"/>
        <d v="2019-06-04T00:00:00"/>
        <d v="2019-06-05T00:00:00"/>
        <d v="2019-06-06T00:00:00"/>
        <d v="2019-06-07T00:00:00"/>
        <d v="2019-06-09T00:00:00"/>
        <d v="2019-06-12T00:00:00"/>
        <d v="2019-06-14T00:00:00"/>
        <d v="2019-06-15T00:00:00"/>
        <d v="2019-06-17T00:00:00"/>
        <d v="2019-06-18T00:00:00"/>
        <d v="2019-06-19T00:00:00"/>
        <d v="2019-06-20T00:00:00"/>
        <d v="2019-06-21T00:00:00"/>
        <d v="2019-06-24T00:00:00"/>
        <d v="2019-06-28T00:00:00"/>
        <d v="2019-06-30T00:00:00"/>
        <d v="2019-07-01T00:00:00"/>
        <d v="2019-07-02T00:00:00"/>
        <d v="2019-07-04T00:00:00"/>
        <d v="2019-07-05T00:00:00"/>
        <d v="2019-07-06T00:00:00"/>
        <d v="2019-07-07T00:00:00"/>
        <d v="2019-07-09T00:00:00"/>
        <d v="2019-07-10T00:00:00"/>
        <d v="2019-07-15T00:00:00"/>
        <d v="2019-07-16T00:00:00"/>
        <d v="2019-07-17T00:00:00"/>
        <d v="2019-07-18T00:00:00"/>
        <d v="2019-07-19T00:00:00"/>
        <d v="2019-07-22T00:00:00"/>
        <d v="2019-07-24T00:00:00"/>
        <d v="2019-07-27T00:00:00"/>
        <d v="2019-07-28T00:00:00"/>
        <d v="2019-07-29T00:00:00"/>
        <d v="2019-07-30T00:00:00"/>
        <d v="2019-08-01T00:00:00"/>
        <d v="2019-08-02T00:00:00"/>
        <d v="2019-08-03T00:00:00"/>
        <d v="2019-08-04T00:00:00"/>
        <d v="2019-08-05T00:00:00"/>
        <d v="2019-08-06T00:00:00"/>
        <d v="2019-08-08T00:00:00"/>
        <d v="2019-08-09T00:00:00"/>
        <d v="2019-08-12T00:00:00"/>
        <d v="2019-08-14T00:00:00"/>
        <d v="2019-08-15T00:00:00"/>
        <d v="2019-08-16T00:00:00"/>
        <d v="2019-08-17T00:00:00"/>
        <d v="2019-08-20T00:00:00"/>
        <d v="2019-08-21T00:00:00"/>
        <d v="2019-08-23T00:00:00"/>
        <d v="2019-08-25T00:00:00"/>
        <d v="2019-08-26T00:00:00"/>
        <d v="2019-08-29T00:00:00"/>
        <d v="2019-08-30T00:00:00"/>
        <d v="2019-08-31T00:00:00"/>
        <d v="2019-09-01T00:00:00"/>
        <d v="2019-09-03T00:00:00"/>
        <d v="2019-09-04T00:00:00"/>
        <d v="2019-09-05T00:00:00"/>
        <d v="2019-09-07T00:00:00"/>
        <d v="2019-09-08T00:00:00"/>
        <d v="2019-09-09T00:00:00"/>
        <d v="2019-09-11T00:00:00"/>
        <d v="2019-09-13T00:00:00"/>
        <d v="2019-09-14T00:00:00"/>
        <d v="2019-09-15T00:00:00"/>
        <d v="2019-09-16T00:00:00"/>
        <d v="2019-09-17T00:00:00"/>
        <d v="2019-09-18T00:00:00"/>
        <d v="2019-09-19T00:00:00"/>
        <d v="2019-09-22T00:00:00"/>
        <d v="2019-09-23T00:00:00"/>
        <d v="2019-09-27T00:00:00"/>
        <d v="2019-09-28T00:00:00"/>
        <d v="2019-09-30T00:00:00"/>
      </sharedItems>
      <fieldGroup par="8"/>
    </cacheField>
    <cacheField name="Valor" numFmtId="164">
      <sharedItems containsSemiMixedTypes="0" containsString="0" containsNumber="1" minValue="1.75" maxValue="9200"/>
    </cacheField>
    <cacheField name="Tipo de Transação" numFmtId="0">
      <sharedItems count="2">
        <s v="Débito"/>
        <s v="Crédito"/>
      </sharedItems>
    </cacheField>
    <cacheField name="Categoria" numFmtId="0">
      <sharedItems count="20">
        <s v="Compras Gerais"/>
        <s v="Aluguel e Hipoteca"/>
        <s v="Restaurantes"/>
        <s v="Filmes e DVDs"/>
        <s v="Reformas na Casa"/>
        <s v="Serviços Públicos"/>
        <s v="Música"/>
        <s v="Celular"/>
        <s v="Combustível"/>
        <s v="Supermercado"/>
        <s v="Salário"/>
        <s v="Fast Food"/>
        <s v="Cafeterias"/>
        <s v="Internet"/>
        <s v="Corte de Cabelo"/>
        <s v="Álcool e Bares"/>
        <s v="Seguro do Automóvel"/>
        <s v="Entretenimento"/>
        <s v="Televisão"/>
        <s v="Eletrônicos e Software"/>
      </sharedItems>
    </cacheField>
    <cacheField name="Conta" numFmtId="0">
      <sharedItems count="4">
        <s v="Cartão Platina"/>
        <s v="Débito em Conta"/>
        <s v="Cartão Prata"/>
        <s v="Débito à vista"/>
      </sharedItems>
    </cacheField>
    <cacheField name="Mês" numFmtId="165">
      <sharedItems containsSemiMixedTypes="0" containsNonDate="0" containsDate="1" containsString="0" minDate="2018-01-01T00:00:00" maxDate="2019-09-02T00:00:00" count="21">
        <d v="2018-01-01T00:00:00"/>
        <d v="2018-02-01T00:00:00"/>
        <d v="2018-03-01T00:00:00"/>
        <d v="2018-04-01T00:00:00"/>
        <d v="2018-05-01T00:00:00"/>
        <d v="2018-06-01T00:00:00"/>
        <d v="2018-07-01T00:00:00"/>
        <d v="2018-08-01T00:00:00"/>
        <d v="2018-09-01T00:00:00"/>
        <d v="2018-10-01T00:00:00"/>
        <d v="2018-11-01T00:00:00"/>
        <d v="2018-12-01T00:00:00"/>
        <d v="2019-01-01T00:00:00"/>
        <d v="2019-02-01T00:00:00"/>
        <d v="2019-03-01T00:00:00"/>
        <d v="2019-04-01T00:00:00"/>
        <d v="2019-05-01T00:00:00"/>
        <d v="2019-06-01T00:00:00"/>
        <d v="2019-07-01T00:00:00"/>
        <d v="2019-08-01T00:00:00"/>
        <d v="2019-09-01T00:00:00"/>
      </sharedItems>
      <fieldGroup par="11"/>
    </cacheField>
    <cacheField name="Months (Date)" numFmtId="0" databaseField="0">
      <fieldGroup base="0">
        <rangePr groupBy="months" startDate="2018-01-01T00:00:00" endDate="2019-10-01T00:00:00"/>
        <groupItems count="14">
          <s v="&lt;01/01/2018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1/10/2019"/>
        </groupItems>
      </fieldGroup>
    </cacheField>
    <cacheField name="Quarters (Date)" numFmtId="0" databaseField="0">
      <fieldGroup base="0">
        <rangePr groupBy="quarters" startDate="2018-01-01T00:00:00" endDate="2019-10-01T00:00:00"/>
        <groupItems count="6">
          <s v="&lt;01/01/2018"/>
          <s v="Qtr1"/>
          <s v="Qtr2"/>
          <s v="Qtr3"/>
          <s v="Qtr4"/>
          <s v="&gt;01/10/2019"/>
        </groupItems>
      </fieldGroup>
    </cacheField>
    <cacheField name="Years (Date)" numFmtId="0" databaseField="0">
      <fieldGroup base="0">
        <rangePr groupBy="years" startDate="2018-01-01T00:00:00" endDate="2019-10-01T00:00:00"/>
        <groupItems count="4">
          <s v="&lt;01/01/2018"/>
          <s v="2018"/>
          <s v="2019"/>
          <s v="&gt;01/10/2019"/>
        </groupItems>
      </fieldGroup>
    </cacheField>
    <cacheField name="Months (Mês)" numFmtId="0" databaseField="0">
      <fieldGroup base="5">
        <rangePr groupBy="months" startDate="2018-01-01T00:00:00" endDate="2019-09-02T00:00:00"/>
        <groupItems count="14">
          <s v="&lt;01/01/2018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2/09/2019"/>
        </groupItems>
      </fieldGroup>
    </cacheField>
    <cacheField name="Quarters (Mês)" numFmtId="0" databaseField="0">
      <fieldGroup base="5">
        <rangePr groupBy="quarters" startDate="2018-01-01T00:00:00" endDate="2019-09-02T00:00:00"/>
        <groupItems count="6">
          <s v="&lt;01/01/2018"/>
          <s v="Qtr1"/>
          <s v="Qtr2"/>
          <s v="Qtr3"/>
          <s v="Qtr4"/>
          <s v="&gt;02/09/2019"/>
        </groupItems>
      </fieldGroup>
    </cacheField>
    <cacheField name="Years (Mês)" numFmtId="0" databaseField="0">
      <fieldGroup base="5">
        <rangePr groupBy="years" startDate="2018-01-01T00:00:00" endDate="2019-09-02T00:00:00"/>
        <groupItems count="4">
          <s v="&lt;01/01/2018"/>
          <s v="2018"/>
          <s v="2019"/>
          <s v="&gt;02/09/2019"/>
        </groupItems>
      </fieldGroup>
    </cacheField>
  </cacheFields>
  <extLst>
    <ext xmlns:x14="http://schemas.microsoft.com/office/spreadsheetml/2009/9/main" uri="{725AE2AE-9491-48be-B2B4-4EB974FC3084}">
      <x14:pivotCacheDefinition pivotCacheId="2541324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3">
  <r>
    <x v="0"/>
    <n v="11.11"/>
    <x v="0"/>
    <x v="0"/>
    <x v="0"/>
    <x v="0"/>
  </r>
  <r>
    <x v="1"/>
    <n v="1247.44"/>
    <x v="0"/>
    <x v="1"/>
    <x v="1"/>
    <x v="0"/>
  </r>
  <r>
    <x v="1"/>
    <n v="24.22"/>
    <x v="0"/>
    <x v="2"/>
    <x v="2"/>
    <x v="0"/>
  </r>
  <r>
    <x v="2"/>
    <n v="11.76"/>
    <x v="0"/>
    <x v="3"/>
    <x v="0"/>
    <x v="0"/>
  </r>
  <r>
    <x v="3"/>
    <n v="25.85"/>
    <x v="0"/>
    <x v="2"/>
    <x v="2"/>
    <x v="0"/>
  </r>
  <r>
    <x v="4"/>
    <n v="18.45"/>
    <x v="0"/>
    <x v="4"/>
    <x v="2"/>
    <x v="0"/>
  </r>
  <r>
    <x v="5"/>
    <n v="45"/>
    <x v="0"/>
    <x v="5"/>
    <x v="1"/>
    <x v="0"/>
  </r>
  <r>
    <x v="5"/>
    <n v="15.38"/>
    <x v="0"/>
    <x v="4"/>
    <x v="2"/>
    <x v="0"/>
  </r>
  <r>
    <x v="6"/>
    <n v="10.69"/>
    <x v="0"/>
    <x v="6"/>
    <x v="0"/>
    <x v="0"/>
  </r>
  <r>
    <x v="7"/>
    <n v="89.46"/>
    <x v="0"/>
    <x v="7"/>
    <x v="1"/>
    <x v="0"/>
  </r>
  <r>
    <x v="8"/>
    <n v="34.869999999999997"/>
    <x v="0"/>
    <x v="8"/>
    <x v="0"/>
    <x v="0"/>
  </r>
  <r>
    <x v="8"/>
    <n v="43.54"/>
    <x v="0"/>
    <x v="9"/>
    <x v="0"/>
    <x v="0"/>
  </r>
  <r>
    <x v="9"/>
    <n v="2000"/>
    <x v="1"/>
    <x v="10"/>
    <x v="3"/>
    <x v="0"/>
  </r>
  <r>
    <x v="10"/>
    <n v="32.909999999999997"/>
    <x v="0"/>
    <x v="11"/>
    <x v="0"/>
    <x v="0"/>
  </r>
  <r>
    <x v="10"/>
    <n v="39.049999999999997"/>
    <x v="0"/>
    <x v="0"/>
    <x v="0"/>
    <x v="0"/>
  </r>
  <r>
    <x v="11"/>
    <n v="44.19"/>
    <x v="0"/>
    <x v="9"/>
    <x v="2"/>
    <x v="0"/>
  </r>
  <r>
    <x v="11"/>
    <n v="64.11"/>
    <x v="0"/>
    <x v="2"/>
    <x v="2"/>
    <x v="0"/>
  </r>
  <r>
    <x v="12"/>
    <n v="35"/>
    <x v="0"/>
    <x v="5"/>
    <x v="1"/>
    <x v="0"/>
  </r>
  <r>
    <x v="12"/>
    <n v="60"/>
    <x v="0"/>
    <x v="5"/>
    <x v="1"/>
    <x v="0"/>
  </r>
  <r>
    <x v="13"/>
    <n v="2000"/>
    <x v="1"/>
    <x v="10"/>
    <x v="3"/>
    <x v="0"/>
  </r>
  <r>
    <x v="14"/>
    <n v="50.21"/>
    <x v="0"/>
    <x v="0"/>
    <x v="0"/>
    <x v="0"/>
  </r>
  <r>
    <x v="15"/>
    <n v="17.38"/>
    <x v="0"/>
    <x v="4"/>
    <x v="2"/>
    <x v="0"/>
  </r>
  <r>
    <x v="16"/>
    <n v="3"/>
    <x v="0"/>
    <x v="12"/>
    <x v="0"/>
    <x v="0"/>
  </r>
  <r>
    <x v="17"/>
    <n v="69.989999999999995"/>
    <x v="0"/>
    <x v="13"/>
    <x v="1"/>
    <x v="0"/>
  </r>
  <r>
    <x v="18"/>
    <n v="30.42"/>
    <x v="0"/>
    <x v="8"/>
    <x v="2"/>
    <x v="0"/>
  </r>
  <r>
    <x v="18"/>
    <n v="25"/>
    <x v="0"/>
    <x v="2"/>
    <x v="2"/>
    <x v="0"/>
  </r>
  <r>
    <x v="18"/>
    <n v="17.62"/>
    <x v="0"/>
    <x v="2"/>
    <x v="0"/>
    <x v="0"/>
  </r>
  <r>
    <x v="19"/>
    <n v="27.79"/>
    <x v="0"/>
    <x v="9"/>
    <x v="0"/>
    <x v="1"/>
  </r>
  <r>
    <x v="19"/>
    <n v="11.11"/>
    <x v="0"/>
    <x v="0"/>
    <x v="0"/>
    <x v="1"/>
  </r>
  <r>
    <x v="20"/>
    <n v="1247.44"/>
    <x v="0"/>
    <x v="1"/>
    <x v="1"/>
    <x v="1"/>
  </r>
  <r>
    <x v="20"/>
    <n v="2000"/>
    <x v="1"/>
    <x v="10"/>
    <x v="3"/>
    <x v="1"/>
  </r>
  <r>
    <x v="21"/>
    <n v="57.02"/>
    <x v="0"/>
    <x v="2"/>
    <x v="0"/>
    <x v="1"/>
  </r>
  <r>
    <x v="22"/>
    <n v="11.76"/>
    <x v="0"/>
    <x v="3"/>
    <x v="0"/>
    <x v="1"/>
  </r>
  <r>
    <x v="23"/>
    <n v="65"/>
    <x v="0"/>
    <x v="5"/>
    <x v="1"/>
    <x v="1"/>
  </r>
  <r>
    <x v="24"/>
    <n v="30"/>
    <x v="0"/>
    <x v="14"/>
    <x v="0"/>
    <x v="1"/>
  </r>
  <r>
    <x v="24"/>
    <n v="10.69"/>
    <x v="0"/>
    <x v="6"/>
    <x v="0"/>
    <x v="1"/>
  </r>
  <r>
    <x v="25"/>
    <n v="10.66"/>
    <x v="0"/>
    <x v="11"/>
    <x v="0"/>
    <x v="1"/>
  </r>
  <r>
    <x v="26"/>
    <n v="106.8"/>
    <x v="0"/>
    <x v="2"/>
    <x v="0"/>
    <x v="1"/>
  </r>
  <r>
    <x v="27"/>
    <n v="36.47"/>
    <x v="0"/>
    <x v="8"/>
    <x v="2"/>
    <x v="1"/>
  </r>
  <r>
    <x v="27"/>
    <n v="89.52"/>
    <x v="0"/>
    <x v="7"/>
    <x v="1"/>
    <x v="1"/>
  </r>
  <r>
    <x v="28"/>
    <n v="14"/>
    <x v="0"/>
    <x v="15"/>
    <x v="2"/>
    <x v="1"/>
  </r>
  <r>
    <x v="29"/>
    <n v="10"/>
    <x v="0"/>
    <x v="2"/>
    <x v="0"/>
    <x v="1"/>
  </r>
  <r>
    <x v="29"/>
    <n v="60"/>
    <x v="0"/>
    <x v="5"/>
    <x v="1"/>
    <x v="1"/>
  </r>
  <r>
    <x v="30"/>
    <n v="2000"/>
    <x v="1"/>
    <x v="10"/>
    <x v="3"/>
    <x v="1"/>
  </r>
  <r>
    <x v="30"/>
    <n v="8"/>
    <x v="0"/>
    <x v="2"/>
    <x v="2"/>
    <x v="1"/>
  </r>
  <r>
    <x v="30"/>
    <n v="35"/>
    <x v="0"/>
    <x v="5"/>
    <x v="1"/>
    <x v="1"/>
  </r>
  <r>
    <x v="31"/>
    <n v="35.950000000000003"/>
    <x v="0"/>
    <x v="9"/>
    <x v="2"/>
    <x v="1"/>
  </r>
  <r>
    <x v="31"/>
    <n v="23.51"/>
    <x v="0"/>
    <x v="2"/>
    <x v="2"/>
    <x v="1"/>
  </r>
  <r>
    <x v="32"/>
    <n v="2"/>
    <x v="0"/>
    <x v="12"/>
    <x v="0"/>
    <x v="1"/>
  </r>
  <r>
    <x v="33"/>
    <n v="4"/>
    <x v="0"/>
    <x v="12"/>
    <x v="2"/>
    <x v="1"/>
  </r>
  <r>
    <x v="34"/>
    <n v="74.989999999999995"/>
    <x v="0"/>
    <x v="13"/>
    <x v="1"/>
    <x v="1"/>
  </r>
  <r>
    <x v="34"/>
    <n v="85.52"/>
    <x v="0"/>
    <x v="2"/>
    <x v="2"/>
    <x v="1"/>
  </r>
  <r>
    <x v="34"/>
    <n v="32.21"/>
    <x v="0"/>
    <x v="8"/>
    <x v="2"/>
    <x v="1"/>
  </r>
  <r>
    <x v="35"/>
    <n v="32.07"/>
    <x v="0"/>
    <x v="9"/>
    <x v="2"/>
    <x v="2"/>
  </r>
  <r>
    <x v="35"/>
    <n v="13.13"/>
    <x v="0"/>
    <x v="0"/>
    <x v="0"/>
    <x v="2"/>
  </r>
  <r>
    <x v="36"/>
    <n v="1247.44"/>
    <x v="0"/>
    <x v="1"/>
    <x v="1"/>
    <x v="2"/>
  </r>
  <r>
    <x v="36"/>
    <n v="2000"/>
    <x v="1"/>
    <x v="10"/>
    <x v="3"/>
    <x v="2"/>
  </r>
  <r>
    <x v="37"/>
    <n v="23.74"/>
    <x v="0"/>
    <x v="9"/>
    <x v="2"/>
    <x v="2"/>
  </r>
  <r>
    <x v="38"/>
    <n v="10.69"/>
    <x v="0"/>
    <x v="9"/>
    <x v="0"/>
    <x v="2"/>
  </r>
  <r>
    <x v="38"/>
    <n v="11.76"/>
    <x v="0"/>
    <x v="3"/>
    <x v="0"/>
    <x v="2"/>
  </r>
  <r>
    <x v="38"/>
    <n v="42.24"/>
    <x v="0"/>
    <x v="2"/>
    <x v="0"/>
    <x v="2"/>
  </r>
  <r>
    <x v="39"/>
    <n v="3"/>
    <x v="0"/>
    <x v="12"/>
    <x v="0"/>
    <x v="2"/>
  </r>
  <r>
    <x v="40"/>
    <n v="3.5"/>
    <x v="0"/>
    <x v="12"/>
    <x v="0"/>
    <x v="2"/>
  </r>
  <r>
    <x v="41"/>
    <n v="34.9"/>
    <x v="0"/>
    <x v="8"/>
    <x v="0"/>
    <x v="2"/>
  </r>
  <r>
    <x v="41"/>
    <n v="52"/>
    <x v="0"/>
    <x v="5"/>
    <x v="1"/>
    <x v="2"/>
  </r>
  <r>
    <x v="42"/>
    <n v="20.72"/>
    <x v="0"/>
    <x v="9"/>
    <x v="0"/>
    <x v="2"/>
  </r>
  <r>
    <x v="42"/>
    <n v="5.09"/>
    <x v="0"/>
    <x v="9"/>
    <x v="0"/>
    <x v="2"/>
  </r>
  <r>
    <x v="42"/>
    <n v="10.69"/>
    <x v="0"/>
    <x v="6"/>
    <x v="0"/>
    <x v="2"/>
  </r>
  <r>
    <x v="43"/>
    <n v="19.350000000000001"/>
    <x v="0"/>
    <x v="9"/>
    <x v="0"/>
    <x v="2"/>
  </r>
  <r>
    <x v="43"/>
    <n v="89.52"/>
    <x v="0"/>
    <x v="7"/>
    <x v="1"/>
    <x v="2"/>
  </r>
  <r>
    <x v="44"/>
    <n v="45.75"/>
    <x v="0"/>
    <x v="0"/>
    <x v="0"/>
    <x v="2"/>
  </r>
  <r>
    <x v="45"/>
    <n v="22.5"/>
    <x v="0"/>
    <x v="9"/>
    <x v="0"/>
    <x v="2"/>
  </r>
  <r>
    <x v="45"/>
    <n v="8.49"/>
    <x v="0"/>
    <x v="2"/>
    <x v="0"/>
    <x v="2"/>
  </r>
  <r>
    <x v="46"/>
    <n v="3.5"/>
    <x v="0"/>
    <x v="12"/>
    <x v="0"/>
    <x v="2"/>
  </r>
  <r>
    <x v="46"/>
    <n v="60"/>
    <x v="0"/>
    <x v="5"/>
    <x v="1"/>
    <x v="2"/>
  </r>
  <r>
    <x v="47"/>
    <n v="2000"/>
    <x v="1"/>
    <x v="10"/>
    <x v="3"/>
    <x v="2"/>
  </r>
  <r>
    <x v="48"/>
    <n v="19.5"/>
    <x v="0"/>
    <x v="15"/>
    <x v="2"/>
    <x v="2"/>
  </r>
  <r>
    <x v="48"/>
    <n v="23.34"/>
    <x v="0"/>
    <x v="11"/>
    <x v="0"/>
    <x v="2"/>
  </r>
  <r>
    <x v="49"/>
    <n v="36.479999999999997"/>
    <x v="0"/>
    <x v="2"/>
    <x v="2"/>
    <x v="2"/>
  </r>
  <r>
    <x v="49"/>
    <n v="35"/>
    <x v="0"/>
    <x v="5"/>
    <x v="1"/>
    <x v="2"/>
  </r>
  <r>
    <x v="50"/>
    <n v="14.97"/>
    <x v="0"/>
    <x v="0"/>
    <x v="0"/>
    <x v="2"/>
  </r>
  <r>
    <x v="51"/>
    <n v="30.55"/>
    <x v="0"/>
    <x v="8"/>
    <x v="2"/>
    <x v="2"/>
  </r>
  <r>
    <x v="52"/>
    <n v="11.76"/>
    <x v="0"/>
    <x v="9"/>
    <x v="2"/>
    <x v="2"/>
  </r>
  <r>
    <x v="53"/>
    <n v="74.989999999999995"/>
    <x v="0"/>
    <x v="13"/>
    <x v="1"/>
    <x v="2"/>
  </r>
  <r>
    <x v="54"/>
    <n v="16.059999999999999"/>
    <x v="0"/>
    <x v="9"/>
    <x v="2"/>
    <x v="2"/>
  </r>
  <r>
    <x v="54"/>
    <n v="24.98"/>
    <x v="0"/>
    <x v="2"/>
    <x v="2"/>
    <x v="2"/>
  </r>
  <r>
    <x v="55"/>
    <n v="17.64"/>
    <x v="0"/>
    <x v="2"/>
    <x v="2"/>
    <x v="2"/>
  </r>
  <r>
    <x v="56"/>
    <n v="9.09"/>
    <x v="0"/>
    <x v="9"/>
    <x v="2"/>
    <x v="2"/>
  </r>
  <r>
    <x v="56"/>
    <n v="2000"/>
    <x v="1"/>
    <x v="10"/>
    <x v="3"/>
    <x v="2"/>
  </r>
  <r>
    <x v="57"/>
    <n v="38.32"/>
    <x v="0"/>
    <x v="2"/>
    <x v="0"/>
    <x v="2"/>
  </r>
  <r>
    <x v="57"/>
    <n v="24.74"/>
    <x v="0"/>
    <x v="2"/>
    <x v="0"/>
    <x v="2"/>
  </r>
  <r>
    <x v="57"/>
    <n v="41.16"/>
    <x v="0"/>
    <x v="2"/>
    <x v="2"/>
    <x v="2"/>
  </r>
  <r>
    <x v="58"/>
    <n v="80.790000000000006"/>
    <x v="0"/>
    <x v="9"/>
    <x v="0"/>
    <x v="3"/>
  </r>
  <r>
    <x v="58"/>
    <n v="59.48"/>
    <x v="0"/>
    <x v="2"/>
    <x v="0"/>
    <x v="3"/>
  </r>
  <r>
    <x v="58"/>
    <n v="13.13"/>
    <x v="0"/>
    <x v="0"/>
    <x v="0"/>
    <x v="3"/>
  </r>
  <r>
    <x v="59"/>
    <n v="82.36"/>
    <x v="0"/>
    <x v="9"/>
    <x v="0"/>
    <x v="3"/>
  </r>
  <r>
    <x v="59"/>
    <n v="13.89"/>
    <x v="0"/>
    <x v="4"/>
    <x v="0"/>
    <x v="3"/>
  </r>
  <r>
    <x v="59"/>
    <n v="1247.44"/>
    <x v="0"/>
    <x v="1"/>
    <x v="1"/>
    <x v="3"/>
  </r>
  <r>
    <x v="60"/>
    <n v="6.41"/>
    <x v="0"/>
    <x v="3"/>
    <x v="0"/>
    <x v="3"/>
  </r>
  <r>
    <x v="61"/>
    <n v="11.76"/>
    <x v="0"/>
    <x v="3"/>
    <x v="0"/>
    <x v="3"/>
  </r>
  <r>
    <x v="62"/>
    <n v="4.58"/>
    <x v="0"/>
    <x v="8"/>
    <x v="0"/>
    <x v="3"/>
  </r>
  <r>
    <x v="62"/>
    <n v="9.76"/>
    <x v="0"/>
    <x v="2"/>
    <x v="0"/>
    <x v="3"/>
  </r>
  <r>
    <x v="63"/>
    <n v="22"/>
    <x v="0"/>
    <x v="2"/>
    <x v="0"/>
    <x v="3"/>
  </r>
  <r>
    <x v="64"/>
    <n v="6.48"/>
    <x v="0"/>
    <x v="9"/>
    <x v="2"/>
    <x v="3"/>
  </r>
  <r>
    <x v="64"/>
    <n v="10.69"/>
    <x v="0"/>
    <x v="6"/>
    <x v="0"/>
    <x v="3"/>
  </r>
  <r>
    <x v="64"/>
    <n v="30"/>
    <x v="0"/>
    <x v="5"/>
    <x v="1"/>
    <x v="3"/>
  </r>
  <r>
    <x v="65"/>
    <n v="89.52"/>
    <x v="0"/>
    <x v="7"/>
    <x v="1"/>
    <x v="3"/>
  </r>
  <r>
    <x v="66"/>
    <n v="7"/>
    <x v="0"/>
    <x v="12"/>
    <x v="0"/>
    <x v="3"/>
  </r>
  <r>
    <x v="66"/>
    <n v="30"/>
    <x v="0"/>
    <x v="14"/>
    <x v="0"/>
    <x v="3"/>
  </r>
  <r>
    <x v="67"/>
    <n v="37.979999999999997"/>
    <x v="0"/>
    <x v="8"/>
    <x v="0"/>
    <x v="3"/>
  </r>
  <r>
    <x v="67"/>
    <n v="2000"/>
    <x v="1"/>
    <x v="10"/>
    <x v="3"/>
    <x v="3"/>
  </r>
  <r>
    <x v="67"/>
    <n v="10.66"/>
    <x v="0"/>
    <x v="2"/>
    <x v="0"/>
    <x v="3"/>
  </r>
  <r>
    <x v="68"/>
    <n v="11.61"/>
    <x v="0"/>
    <x v="4"/>
    <x v="0"/>
    <x v="3"/>
  </r>
  <r>
    <x v="68"/>
    <n v="41"/>
    <x v="0"/>
    <x v="2"/>
    <x v="0"/>
    <x v="3"/>
  </r>
  <r>
    <x v="69"/>
    <n v="75"/>
    <x v="0"/>
    <x v="16"/>
    <x v="1"/>
    <x v="3"/>
  </r>
  <r>
    <x v="69"/>
    <n v="35"/>
    <x v="0"/>
    <x v="5"/>
    <x v="1"/>
    <x v="3"/>
  </r>
  <r>
    <x v="70"/>
    <n v="60"/>
    <x v="0"/>
    <x v="5"/>
    <x v="1"/>
    <x v="3"/>
  </r>
  <r>
    <x v="71"/>
    <n v="24.22"/>
    <x v="0"/>
    <x v="2"/>
    <x v="2"/>
    <x v="3"/>
  </r>
  <r>
    <x v="72"/>
    <n v="4.32"/>
    <x v="0"/>
    <x v="9"/>
    <x v="2"/>
    <x v="3"/>
  </r>
  <r>
    <x v="72"/>
    <n v="35.15"/>
    <x v="0"/>
    <x v="2"/>
    <x v="2"/>
    <x v="3"/>
  </r>
  <r>
    <x v="73"/>
    <n v="21.32"/>
    <x v="0"/>
    <x v="9"/>
    <x v="0"/>
    <x v="3"/>
  </r>
  <r>
    <x v="74"/>
    <n v="42.7"/>
    <x v="0"/>
    <x v="4"/>
    <x v="2"/>
    <x v="3"/>
  </r>
  <r>
    <x v="75"/>
    <n v="224.7"/>
    <x v="0"/>
    <x v="4"/>
    <x v="0"/>
    <x v="3"/>
  </r>
  <r>
    <x v="75"/>
    <n v="41.34"/>
    <x v="0"/>
    <x v="0"/>
    <x v="0"/>
    <x v="3"/>
  </r>
  <r>
    <x v="76"/>
    <n v="210.79"/>
    <x v="0"/>
    <x v="4"/>
    <x v="2"/>
    <x v="3"/>
  </r>
  <r>
    <x v="76"/>
    <n v="74.989999999999995"/>
    <x v="0"/>
    <x v="13"/>
    <x v="1"/>
    <x v="3"/>
  </r>
  <r>
    <x v="77"/>
    <n v="2000"/>
    <x v="1"/>
    <x v="10"/>
    <x v="3"/>
    <x v="3"/>
  </r>
  <r>
    <x v="78"/>
    <n v="22.98"/>
    <x v="0"/>
    <x v="9"/>
    <x v="2"/>
    <x v="3"/>
  </r>
  <r>
    <x v="79"/>
    <n v="39"/>
    <x v="0"/>
    <x v="8"/>
    <x v="0"/>
    <x v="3"/>
  </r>
  <r>
    <x v="79"/>
    <n v="51.05"/>
    <x v="0"/>
    <x v="9"/>
    <x v="0"/>
    <x v="3"/>
  </r>
  <r>
    <x v="79"/>
    <n v="68.47"/>
    <x v="0"/>
    <x v="4"/>
    <x v="0"/>
    <x v="3"/>
  </r>
  <r>
    <x v="80"/>
    <n v="5.09"/>
    <x v="0"/>
    <x v="9"/>
    <x v="0"/>
    <x v="3"/>
  </r>
  <r>
    <x v="81"/>
    <n v="13.13"/>
    <x v="0"/>
    <x v="0"/>
    <x v="0"/>
    <x v="4"/>
  </r>
  <r>
    <x v="82"/>
    <n v="1247.44"/>
    <x v="0"/>
    <x v="1"/>
    <x v="1"/>
    <x v="4"/>
  </r>
  <r>
    <x v="83"/>
    <n v="49.72"/>
    <x v="0"/>
    <x v="0"/>
    <x v="0"/>
    <x v="4"/>
  </r>
  <r>
    <x v="84"/>
    <n v="42.23"/>
    <x v="0"/>
    <x v="9"/>
    <x v="0"/>
    <x v="4"/>
  </r>
  <r>
    <x v="84"/>
    <n v="11.76"/>
    <x v="0"/>
    <x v="3"/>
    <x v="0"/>
    <x v="4"/>
  </r>
  <r>
    <x v="85"/>
    <n v="7.27"/>
    <x v="0"/>
    <x v="11"/>
    <x v="0"/>
    <x v="4"/>
  </r>
  <r>
    <x v="85"/>
    <n v="20.52"/>
    <x v="0"/>
    <x v="11"/>
    <x v="0"/>
    <x v="4"/>
  </r>
  <r>
    <x v="86"/>
    <n v="22.37"/>
    <x v="0"/>
    <x v="4"/>
    <x v="0"/>
    <x v="4"/>
  </r>
  <r>
    <x v="86"/>
    <n v="117.69"/>
    <x v="0"/>
    <x v="0"/>
    <x v="0"/>
    <x v="4"/>
  </r>
  <r>
    <x v="87"/>
    <n v="10.69"/>
    <x v="0"/>
    <x v="6"/>
    <x v="0"/>
    <x v="4"/>
  </r>
  <r>
    <x v="87"/>
    <n v="30"/>
    <x v="0"/>
    <x v="5"/>
    <x v="1"/>
    <x v="4"/>
  </r>
  <r>
    <x v="88"/>
    <n v="111.18"/>
    <x v="0"/>
    <x v="7"/>
    <x v="1"/>
    <x v="4"/>
  </r>
  <r>
    <x v="89"/>
    <n v="57.32"/>
    <x v="0"/>
    <x v="9"/>
    <x v="0"/>
    <x v="4"/>
  </r>
  <r>
    <x v="89"/>
    <n v="2000"/>
    <x v="1"/>
    <x v="10"/>
    <x v="3"/>
    <x v="4"/>
  </r>
  <r>
    <x v="89"/>
    <n v="8000"/>
    <x v="0"/>
    <x v="4"/>
    <x v="1"/>
    <x v="4"/>
  </r>
  <r>
    <x v="90"/>
    <n v="27.77"/>
    <x v="0"/>
    <x v="15"/>
    <x v="0"/>
    <x v="4"/>
  </r>
  <r>
    <x v="90"/>
    <n v="33.299999999999997"/>
    <x v="0"/>
    <x v="8"/>
    <x v="0"/>
    <x v="4"/>
  </r>
  <r>
    <x v="90"/>
    <n v="78"/>
    <x v="0"/>
    <x v="2"/>
    <x v="0"/>
    <x v="4"/>
  </r>
  <r>
    <x v="91"/>
    <n v="67.63"/>
    <x v="0"/>
    <x v="9"/>
    <x v="2"/>
    <x v="4"/>
  </r>
  <r>
    <x v="92"/>
    <n v="60"/>
    <x v="0"/>
    <x v="5"/>
    <x v="1"/>
    <x v="4"/>
  </r>
  <r>
    <x v="93"/>
    <n v="29"/>
    <x v="0"/>
    <x v="14"/>
    <x v="2"/>
    <x v="4"/>
  </r>
  <r>
    <x v="93"/>
    <n v="35"/>
    <x v="0"/>
    <x v="5"/>
    <x v="1"/>
    <x v="4"/>
  </r>
  <r>
    <x v="94"/>
    <n v="75"/>
    <x v="0"/>
    <x v="16"/>
    <x v="1"/>
    <x v="4"/>
  </r>
  <r>
    <x v="94"/>
    <n v="6.41"/>
    <x v="0"/>
    <x v="0"/>
    <x v="0"/>
    <x v="4"/>
  </r>
  <r>
    <x v="95"/>
    <n v="31"/>
    <x v="0"/>
    <x v="9"/>
    <x v="2"/>
    <x v="4"/>
  </r>
  <r>
    <x v="95"/>
    <n v="23.26"/>
    <x v="0"/>
    <x v="2"/>
    <x v="2"/>
    <x v="4"/>
  </r>
  <r>
    <x v="96"/>
    <n v="26.04"/>
    <x v="0"/>
    <x v="2"/>
    <x v="2"/>
    <x v="4"/>
  </r>
  <r>
    <x v="96"/>
    <n v="32.5"/>
    <x v="0"/>
    <x v="0"/>
    <x v="0"/>
    <x v="4"/>
  </r>
  <r>
    <x v="97"/>
    <n v="39.44"/>
    <x v="0"/>
    <x v="8"/>
    <x v="2"/>
    <x v="4"/>
  </r>
  <r>
    <x v="98"/>
    <n v="74.989999999999995"/>
    <x v="0"/>
    <x v="13"/>
    <x v="1"/>
    <x v="4"/>
  </r>
  <r>
    <x v="98"/>
    <n v="2000"/>
    <x v="1"/>
    <x v="10"/>
    <x v="3"/>
    <x v="4"/>
  </r>
  <r>
    <x v="99"/>
    <n v="9.6199999999999992"/>
    <x v="0"/>
    <x v="17"/>
    <x v="2"/>
    <x v="4"/>
  </r>
  <r>
    <x v="99"/>
    <n v="91.03"/>
    <x v="0"/>
    <x v="9"/>
    <x v="2"/>
    <x v="4"/>
  </r>
  <r>
    <x v="100"/>
    <n v="20"/>
    <x v="0"/>
    <x v="3"/>
    <x v="2"/>
    <x v="4"/>
  </r>
  <r>
    <x v="100"/>
    <n v="6.25"/>
    <x v="0"/>
    <x v="3"/>
    <x v="2"/>
    <x v="4"/>
  </r>
  <r>
    <x v="101"/>
    <n v="38.630000000000003"/>
    <x v="0"/>
    <x v="8"/>
    <x v="0"/>
    <x v="5"/>
  </r>
  <r>
    <x v="101"/>
    <n v="6.11"/>
    <x v="0"/>
    <x v="9"/>
    <x v="0"/>
    <x v="5"/>
  </r>
  <r>
    <x v="101"/>
    <n v="13.13"/>
    <x v="0"/>
    <x v="0"/>
    <x v="0"/>
    <x v="5"/>
  </r>
  <r>
    <x v="102"/>
    <n v="65.81"/>
    <x v="0"/>
    <x v="2"/>
    <x v="0"/>
    <x v="5"/>
  </r>
  <r>
    <x v="103"/>
    <n v="24.12"/>
    <x v="0"/>
    <x v="9"/>
    <x v="0"/>
    <x v="5"/>
  </r>
  <r>
    <x v="103"/>
    <n v="1247.44"/>
    <x v="0"/>
    <x v="1"/>
    <x v="1"/>
    <x v="5"/>
  </r>
  <r>
    <x v="103"/>
    <n v="11.76"/>
    <x v="0"/>
    <x v="3"/>
    <x v="0"/>
    <x v="5"/>
  </r>
  <r>
    <x v="104"/>
    <n v="4"/>
    <x v="0"/>
    <x v="12"/>
    <x v="0"/>
    <x v="5"/>
  </r>
  <r>
    <x v="105"/>
    <n v="2000"/>
    <x v="1"/>
    <x v="10"/>
    <x v="3"/>
    <x v="5"/>
  </r>
  <r>
    <x v="105"/>
    <n v="30"/>
    <x v="0"/>
    <x v="5"/>
    <x v="1"/>
    <x v="5"/>
  </r>
  <r>
    <x v="106"/>
    <n v="16.18"/>
    <x v="0"/>
    <x v="11"/>
    <x v="0"/>
    <x v="5"/>
  </r>
  <r>
    <x v="106"/>
    <n v="9.56"/>
    <x v="0"/>
    <x v="9"/>
    <x v="0"/>
    <x v="5"/>
  </r>
  <r>
    <x v="106"/>
    <n v="10.69"/>
    <x v="0"/>
    <x v="6"/>
    <x v="0"/>
    <x v="5"/>
  </r>
  <r>
    <x v="107"/>
    <n v="46.01"/>
    <x v="0"/>
    <x v="9"/>
    <x v="0"/>
    <x v="5"/>
  </r>
  <r>
    <x v="108"/>
    <n v="12.55"/>
    <x v="0"/>
    <x v="9"/>
    <x v="0"/>
    <x v="5"/>
  </r>
  <r>
    <x v="108"/>
    <n v="89.46"/>
    <x v="0"/>
    <x v="7"/>
    <x v="1"/>
    <x v="5"/>
  </r>
  <r>
    <x v="109"/>
    <n v="7.02"/>
    <x v="0"/>
    <x v="9"/>
    <x v="0"/>
    <x v="5"/>
  </r>
  <r>
    <x v="110"/>
    <n v="60"/>
    <x v="0"/>
    <x v="5"/>
    <x v="1"/>
    <x v="5"/>
  </r>
  <r>
    <x v="111"/>
    <n v="3"/>
    <x v="0"/>
    <x v="12"/>
    <x v="0"/>
    <x v="5"/>
  </r>
  <r>
    <x v="111"/>
    <n v="22.66"/>
    <x v="0"/>
    <x v="11"/>
    <x v="0"/>
    <x v="5"/>
  </r>
  <r>
    <x v="111"/>
    <n v="13.9"/>
    <x v="0"/>
    <x v="9"/>
    <x v="0"/>
    <x v="5"/>
  </r>
  <r>
    <x v="112"/>
    <n v="35"/>
    <x v="0"/>
    <x v="5"/>
    <x v="1"/>
    <x v="5"/>
  </r>
  <r>
    <x v="113"/>
    <n v="38.520000000000003"/>
    <x v="0"/>
    <x v="8"/>
    <x v="0"/>
    <x v="5"/>
  </r>
  <r>
    <x v="113"/>
    <n v="2.69"/>
    <x v="0"/>
    <x v="9"/>
    <x v="0"/>
    <x v="5"/>
  </r>
  <r>
    <x v="114"/>
    <n v="75"/>
    <x v="0"/>
    <x v="16"/>
    <x v="1"/>
    <x v="5"/>
  </r>
  <r>
    <x v="114"/>
    <n v="30"/>
    <x v="0"/>
    <x v="14"/>
    <x v="2"/>
    <x v="5"/>
  </r>
  <r>
    <x v="115"/>
    <n v="2000"/>
    <x v="1"/>
    <x v="10"/>
    <x v="3"/>
    <x v="5"/>
  </r>
  <r>
    <x v="116"/>
    <n v="8.5"/>
    <x v="0"/>
    <x v="2"/>
    <x v="2"/>
    <x v="5"/>
  </r>
  <r>
    <x v="116"/>
    <n v="74.97"/>
    <x v="0"/>
    <x v="0"/>
    <x v="0"/>
    <x v="5"/>
  </r>
  <r>
    <x v="117"/>
    <n v="74.989999999999995"/>
    <x v="0"/>
    <x v="13"/>
    <x v="1"/>
    <x v="5"/>
  </r>
  <r>
    <x v="118"/>
    <n v="9.6199999999999992"/>
    <x v="0"/>
    <x v="9"/>
    <x v="2"/>
    <x v="5"/>
  </r>
  <r>
    <x v="119"/>
    <n v="3.5"/>
    <x v="0"/>
    <x v="12"/>
    <x v="2"/>
    <x v="5"/>
  </r>
  <r>
    <x v="119"/>
    <n v="22.66"/>
    <x v="0"/>
    <x v="11"/>
    <x v="0"/>
    <x v="5"/>
  </r>
  <r>
    <x v="120"/>
    <n v="7.57"/>
    <x v="0"/>
    <x v="9"/>
    <x v="2"/>
    <x v="5"/>
  </r>
  <r>
    <x v="121"/>
    <n v="13.13"/>
    <x v="0"/>
    <x v="0"/>
    <x v="0"/>
    <x v="6"/>
  </r>
  <r>
    <x v="122"/>
    <n v="1247.44"/>
    <x v="0"/>
    <x v="1"/>
    <x v="1"/>
    <x v="6"/>
  </r>
  <r>
    <x v="122"/>
    <n v="25"/>
    <x v="0"/>
    <x v="3"/>
    <x v="2"/>
    <x v="6"/>
  </r>
  <r>
    <x v="122"/>
    <n v="36.44"/>
    <x v="0"/>
    <x v="2"/>
    <x v="2"/>
    <x v="6"/>
  </r>
  <r>
    <x v="123"/>
    <n v="34.479999999999997"/>
    <x v="0"/>
    <x v="8"/>
    <x v="2"/>
    <x v="6"/>
  </r>
  <r>
    <x v="123"/>
    <n v="11.76"/>
    <x v="0"/>
    <x v="3"/>
    <x v="0"/>
    <x v="6"/>
  </r>
  <r>
    <x v="124"/>
    <n v="44.25"/>
    <x v="0"/>
    <x v="9"/>
    <x v="2"/>
    <x v="6"/>
  </r>
  <r>
    <x v="124"/>
    <n v="212.32"/>
    <x v="0"/>
    <x v="0"/>
    <x v="0"/>
    <x v="6"/>
  </r>
  <r>
    <x v="125"/>
    <n v="6.41"/>
    <x v="0"/>
    <x v="3"/>
    <x v="0"/>
    <x v="6"/>
  </r>
  <r>
    <x v="125"/>
    <n v="2000"/>
    <x v="1"/>
    <x v="10"/>
    <x v="3"/>
    <x v="6"/>
  </r>
  <r>
    <x v="126"/>
    <n v="10.69"/>
    <x v="0"/>
    <x v="6"/>
    <x v="0"/>
    <x v="6"/>
  </r>
  <r>
    <x v="127"/>
    <n v="5.39"/>
    <x v="0"/>
    <x v="9"/>
    <x v="2"/>
    <x v="6"/>
  </r>
  <r>
    <x v="127"/>
    <n v="30"/>
    <x v="0"/>
    <x v="5"/>
    <x v="1"/>
    <x v="6"/>
  </r>
  <r>
    <x v="128"/>
    <n v="89.46"/>
    <x v="0"/>
    <x v="7"/>
    <x v="1"/>
    <x v="6"/>
  </r>
  <r>
    <x v="129"/>
    <n v="33.51"/>
    <x v="0"/>
    <x v="8"/>
    <x v="2"/>
    <x v="6"/>
  </r>
  <r>
    <x v="130"/>
    <n v="36.24"/>
    <x v="0"/>
    <x v="8"/>
    <x v="0"/>
    <x v="6"/>
  </r>
  <r>
    <x v="131"/>
    <n v="15.23"/>
    <x v="0"/>
    <x v="11"/>
    <x v="2"/>
    <x v="6"/>
  </r>
  <r>
    <x v="131"/>
    <n v="35"/>
    <x v="0"/>
    <x v="5"/>
    <x v="1"/>
    <x v="6"/>
  </r>
  <r>
    <x v="131"/>
    <n v="60"/>
    <x v="0"/>
    <x v="5"/>
    <x v="1"/>
    <x v="6"/>
  </r>
  <r>
    <x v="132"/>
    <n v="28.54"/>
    <x v="0"/>
    <x v="15"/>
    <x v="0"/>
    <x v="6"/>
  </r>
  <r>
    <x v="132"/>
    <n v="75"/>
    <x v="0"/>
    <x v="16"/>
    <x v="1"/>
    <x v="6"/>
  </r>
  <r>
    <x v="133"/>
    <n v="2000"/>
    <x v="1"/>
    <x v="10"/>
    <x v="3"/>
    <x v="6"/>
  </r>
  <r>
    <x v="134"/>
    <n v="28.93"/>
    <x v="0"/>
    <x v="9"/>
    <x v="0"/>
    <x v="6"/>
  </r>
  <r>
    <x v="134"/>
    <n v="30"/>
    <x v="0"/>
    <x v="14"/>
    <x v="0"/>
    <x v="6"/>
  </r>
  <r>
    <x v="135"/>
    <n v="9.58"/>
    <x v="0"/>
    <x v="11"/>
    <x v="0"/>
    <x v="6"/>
  </r>
  <r>
    <x v="136"/>
    <n v="26.59"/>
    <x v="0"/>
    <x v="2"/>
    <x v="0"/>
    <x v="6"/>
  </r>
  <r>
    <x v="137"/>
    <n v="74.989999999999995"/>
    <x v="0"/>
    <x v="13"/>
    <x v="1"/>
    <x v="6"/>
  </r>
  <r>
    <x v="138"/>
    <n v="33.67"/>
    <x v="0"/>
    <x v="8"/>
    <x v="2"/>
    <x v="6"/>
  </r>
  <r>
    <x v="139"/>
    <n v="7.61"/>
    <x v="0"/>
    <x v="9"/>
    <x v="2"/>
    <x v="6"/>
  </r>
  <r>
    <x v="140"/>
    <n v="34.380000000000003"/>
    <x v="0"/>
    <x v="2"/>
    <x v="2"/>
    <x v="6"/>
  </r>
  <r>
    <x v="141"/>
    <n v="6.6"/>
    <x v="0"/>
    <x v="15"/>
    <x v="2"/>
    <x v="6"/>
  </r>
  <r>
    <x v="142"/>
    <n v="13.13"/>
    <x v="0"/>
    <x v="0"/>
    <x v="0"/>
    <x v="7"/>
  </r>
  <r>
    <x v="143"/>
    <n v="40.44"/>
    <x v="0"/>
    <x v="8"/>
    <x v="2"/>
    <x v="7"/>
  </r>
  <r>
    <x v="143"/>
    <n v="1247.44"/>
    <x v="0"/>
    <x v="1"/>
    <x v="1"/>
    <x v="7"/>
  </r>
  <r>
    <x v="144"/>
    <n v="6.27"/>
    <x v="0"/>
    <x v="9"/>
    <x v="2"/>
    <x v="7"/>
  </r>
  <r>
    <x v="144"/>
    <n v="2000"/>
    <x v="1"/>
    <x v="10"/>
    <x v="3"/>
    <x v="7"/>
  </r>
  <r>
    <x v="145"/>
    <n v="11.76"/>
    <x v="0"/>
    <x v="3"/>
    <x v="0"/>
    <x v="7"/>
  </r>
  <r>
    <x v="146"/>
    <n v="76.47"/>
    <x v="0"/>
    <x v="0"/>
    <x v="0"/>
    <x v="7"/>
  </r>
  <r>
    <x v="147"/>
    <n v="10.69"/>
    <x v="0"/>
    <x v="6"/>
    <x v="0"/>
    <x v="7"/>
  </r>
  <r>
    <x v="147"/>
    <n v="30"/>
    <x v="0"/>
    <x v="5"/>
    <x v="1"/>
    <x v="7"/>
  </r>
  <r>
    <x v="148"/>
    <n v="89.4"/>
    <x v="0"/>
    <x v="7"/>
    <x v="1"/>
    <x v="7"/>
  </r>
  <r>
    <x v="149"/>
    <n v="13.67"/>
    <x v="0"/>
    <x v="11"/>
    <x v="0"/>
    <x v="7"/>
  </r>
  <r>
    <x v="149"/>
    <n v="33.659999999999997"/>
    <x v="0"/>
    <x v="8"/>
    <x v="0"/>
    <x v="7"/>
  </r>
  <r>
    <x v="150"/>
    <n v="41.07"/>
    <x v="0"/>
    <x v="8"/>
    <x v="0"/>
    <x v="7"/>
  </r>
  <r>
    <x v="150"/>
    <n v="5.64"/>
    <x v="0"/>
    <x v="9"/>
    <x v="0"/>
    <x v="7"/>
  </r>
  <r>
    <x v="150"/>
    <n v="60"/>
    <x v="0"/>
    <x v="5"/>
    <x v="1"/>
    <x v="7"/>
  </r>
  <r>
    <x v="151"/>
    <n v="35"/>
    <x v="0"/>
    <x v="5"/>
    <x v="1"/>
    <x v="7"/>
  </r>
  <r>
    <x v="152"/>
    <n v="2000"/>
    <x v="1"/>
    <x v="10"/>
    <x v="3"/>
    <x v="7"/>
  </r>
  <r>
    <x v="152"/>
    <n v="14.98"/>
    <x v="0"/>
    <x v="0"/>
    <x v="0"/>
    <x v="7"/>
  </r>
  <r>
    <x v="153"/>
    <n v="23.47"/>
    <x v="0"/>
    <x v="0"/>
    <x v="0"/>
    <x v="7"/>
  </r>
  <r>
    <x v="154"/>
    <n v="75"/>
    <x v="0"/>
    <x v="16"/>
    <x v="1"/>
    <x v="7"/>
  </r>
  <r>
    <x v="155"/>
    <n v="42.31"/>
    <x v="0"/>
    <x v="2"/>
    <x v="0"/>
    <x v="7"/>
  </r>
  <r>
    <x v="156"/>
    <n v="74.989999999999995"/>
    <x v="0"/>
    <x v="13"/>
    <x v="1"/>
    <x v="7"/>
  </r>
  <r>
    <x v="157"/>
    <n v="35.65"/>
    <x v="0"/>
    <x v="8"/>
    <x v="0"/>
    <x v="7"/>
  </r>
  <r>
    <x v="158"/>
    <n v="11.64"/>
    <x v="0"/>
    <x v="9"/>
    <x v="0"/>
    <x v="7"/>
  </r>
  <r>
    <x v="158"/>
    <n v="2000"/>
    <x v="1"/>
    <x v="10"/>
    <x v="3"/>
    <x v="7"/>
  </r>
  <r>
    <x v="159"/>
    <n v="47.4"/>
    <x v="0"/>
    <x v="15"/>
    <x v="0"/>
    <x v="8"/>
  </r>
  <r>
    <x v="159"/>
    <n v="13.13"/>
    <x v="0"/>
    <x v="0"/>
    <x v="0"/>
    <x v="8"/>
  </r>
  <r>
    <x v="160"/>
    <n v="109.83"/>
    <x v="0"/>
    <x v="0"/>
    <x v="0"/>
    <x v="8"/>
  </r>
  <r>
    <x v="161"/>
    <n v="1247.44"/>
    <x v="0"/>
    <x v="1"/>
    <x v="1"/>
    <x v="8"/>
  </r>
  <r>
    <x v="161"/>
    <n v="11.76"/>
    <x v="0"/>
    <x v="3"/>
    <x v="0"/>
    <x v="8"/>
  </r>
  <r>
    <x v="162"/>
    <n v="30"/>
    <x v="0"/>
    <x v="5"/>
    <x v="1"/>
    <x v="8"/>
  </r>
  <r>
    <x v="163"/>
    <n v="18"/>
    <x v="0"/>
    <x v="15"/>
    <x v="0"/>
    <x v="8"/>
  </r>
  <r>
    <x v="163"/>
    <n v="10.69"/>
    <x v="0"/>
    <x v="6"/>
    <x v="0"/>
    <x v="8"/>
  </r>
  <r>
    <x v="164"/>
    <n v="38.86"/>
    <x v="0"/>
    <x v="8"/>
    <x v="0"/>
    <x v="8"/>
  </r>
  <r>
    <x v="164"/>
    <n v="7.87"/>
    <x v="0"/>
    <x v="9"/>
    <x v="0"/>
    <x v="8"/>
  </r>
  <r>
    <x v="165"/>
    <n v="47.16"/>
    <x v="0"/>
    <x v="9"/>
    <x v="0"/>
    <x v="8"/>
  </r>
  <r>
    <x v="165"/>
    <n v="89.4"/>
    <x v="0"/>
    <x v="7"/>
    <x v="1"/>
    <x v="8"/>
  </r>
  <r>
    <x v="166"/>
    <n v="5.64"/>
    <x v="0"/>
    <x v="9"/>
    <x v="0"/>
    <x v="8"/>
  </r>
  <r>
    <x v="167"/>
    <n v="2000"/>
    <x v="1"/>
    <x v="10"/>
    <x v="3"/>
    <x v="8"/>
  </r>
  <r>
    <x v="168"/>
    <n v="10.17"/>
    <x v="0"/>
    <x v="9"/>
    <x v="0"/>
    <x v="8"/>
  </r>
  <r>
    <x v="168"/>
    <n v="8.8000000000000007"/>
    <x v="0"/>
    <x v="9"/>
    <x v="0"/>
    <x v="8"/>
  </r>
  <r>
    <x v="168"/>
    <n v="35"/>
    <x v="0"/>
    <x v="5"/>
    <x v="1"/>
    <x v="8"/>
  </r>
  <r>
    <x v="169"/>
    <n v="4.32"/>
    <x v="0"/>
    <x v="9"/>
    <x v="0"/>
    <x v="8"/>
  </r>
  <r>
    <x v="169"/>
    <n v="60"/>
    <x v="0"/>
    <x v="5"/>
    <x v="1"/>
    <x v="8"/>
  </r>
  <r>
    <x v="170"/>
    <n v="75"/>
    <x v="0"/>
    <x v="16"/>
    <x v="1"/>
    <x v="8"/>
  </r>
  <r>
    <x v="170"/>
    <n v="30"/>
    <x v="0"/>
    <x v="14"/>
    <x v="0"/>
    <x v="8"/>
  </r>
  <r>
    <x v="171"/>
    <n v="47.38"/>
    <x v="0"/>
    <x v="0"/>
    <x v="0"/>
    <x v="8"/>
  </r>
  <r>
    <x v="172"/>
    <n v="69.400000000000006"/>
    <x v="0"/>
    <x v="4"/>
    <x v="0"/>
    <x v="8"/>
  </r>
  <r>
    <x v="172"/>
    <n v="6.83"/>
    <x v="0"/>
    <x v="4"/>
    <x v="0"/>
    <x v="8"/>
  </r>
  <r>
    <x v="173"/>
    <n v="74.989999999999995"/>
    <x v="0"/>
    <x v="13"/>
    <x v="1"/>
    <x v="8"/>
  </r>
  <r>
    <x v="173"/>
    <n v="48.64"/>
    <x v="0"/>
    <x v="2"/>
    <x v="2"/>
    <x v="8"/>
  </r>
  <r>
    <x v="174"/>
    <n v="5"/>
    <x v="0"/>
    <x v="12"/>
    <x v="0"/>
    <x v="8"/>
  </r>
  <r>
    <x v="174"/>
    <n v="38"/>
    <x v="0"/>
    <x v="8"/>
    <x v="2"/>
    <x v="8"/>
  </r>
  <r>
    <x v="175"/>
    <n v="40.71"/>
    <x v="0"/>
    <x v="8"/>
    <x v="0"/>
    <x v="8"/>
  </r>
  <r>
    <x v="176"/>
    <n v="13.36"/>
    <x v="0"/>
    <x v="9"/>
    <x v="0"/>
    <x v="8"/>
  </r>
  <r>
    <x v="176"/>
    <n v="2000"/>
    <x v="1"/>
    <x v="10"/>
    <x v="3"/>
    <x v="8"/>
  </r>
  <r>
    <x v="177"/>
    <n v="23.26"/>
    <x v="0"/>
    <x v="2"/>
    <x v="0"/>
    <x v="8"/>
  </r>
  <r>
    <x v="177"/>
    <n v="46.7"/>
    <x v="0"/>
    <x v="2"/>
    <x v="0"/>
    <x v="8"/>
  </r>
  <r>
    <x v="178"/>
    <n v="3"/>
    <x v="0"/>
    <x v="12"/>
    <x v="0"/>
    <x v="9"/>
  </r>
  <r>
    <x v="178"/>
    <n v="15.66"/>
    <x v="0"/>
    <x v="9"/>
    <x v="0"/>
    <x v="9"/>
  </r>
  <r>
    <x v="178"/>
    <n v="13.13"/>
    <x v="0"/>
    <x v="0"/>
    <x v="0"/>
    <x v="9"/>
  </r>
  <r>
    <x v="179"/>
    <n v="1209.18"/>
    <x v="0"/>
    <x v="1"/>
    <x v="1"/>
    <x v="9"/>
  </r>
  <r>
    <x v="180"/>
    <n v="11.76"/>
    <x v="0"/>
    <x v="3"/>
    <x v="0"/>
    <x v="9"/>
  </r>
  <r>
    <x v="181"/>
    <n v="27"/>
    <x v="0"/>
    <x v="2"/>
    <x v="2"/>
    <x v="9"/>
  </r>
  <r>
    <x v="182"/>
    <n v="38.06"/>
    <x v="0"/>
    <x v="8"/>
    <x v="2"/>
    <x v="9"/>
  </r>
  <r>
    <x v="182"/>
    <n v="80.650000000000006"/>
    <x v="0"/>
    <x v="4"/>
    <x v="2"/>
    <x v="9"/>
  </r>
  <r>
    <x v="182"/>
    <n v="31.2"/>
    <x v="0"/>
    <x v="4"/>
    <x v="2"/>
    <x v="9"/>
  </r>
  <r>
    <x v="183"/>
    <n v="10.69"/>
    <x v="0"/>
    <x v="6"/>
    <x v="0"/>
    <x v="9"/>
  </r>
  <r>
    <x v="183"/>
    <n v="19.98"/>
    <x v="0"/>
    <x v="0"/>
    <x v="0"/>
    <x v="9"/>
  </r>
  <r>
    <x v="183"/>
    <n v="30"/>
    <x v="0"/>
    <x v="5"/>
    <x v="1"/>
    <x v="9"/>
  </r>
  <r>
    <x v="184"/>
    <n v="53.68"/>
    <x v="0"/>
    <x v="9"/>
    <x v="2"/>
    <x v="9"/>
  </r>
  <r>
    <x v="185"/>
    <n v="89.4"/>
    <x v="0"/>
    <x v="7"/>
    <x v="1"/>
    <x v="9"/>
  </r>
  <r>
    <x v="186"/>
    <n v="2000"/>
    <x v="1"/>
    <x v="10"/>
    <x v="3"/>
    <x v="9"/>
  </r>
  <r>
    <x v="187"/>
    <n v="60"/>
    <x v="0"/>
    <x v="5"/>
    <x v="1"/>
    <x v="9"/>
  </r>
  <r>
    <x v="188"/>
    <n v="35"/>
    <x v="0"/>
    <x v="5"/>
    <x v="1"/>
    <x v="9"/>
  </r>
  <r>
    <x v="189"/>
    <n v="75"/>
    <x v="0"/>
    <x v="16"/>
    <x v="1"/>
    <x v="9"/>
  </r>
  <r>
    <x v="189"/>
    <n v="33.549999999999997"/>
    <x v="0"/>
    <x v="9"/>
    <x v="0"/>
    <x v="9"/>
  </r>
  <r>
    <x v="189"/>
    <n v="45.24"/>
    <x v="0"/>
    <x v="4"/>
    <x v="0"/>
    <x v="9"/>
  </r>
  <r>
    <x v="189"/>
    <n v="8"/>
    <x v="0"/>
    <x v="2"/>
    <x v="0"/>
    <x v="9"/>
  </r>
  <r>
    <x v="190"/>
    <n v="34.659999999999997"/>
    <x v="0"/>
    <x v="8"/>
    <x v="0"/>
    <x v="9"/>
  </r>
  <r>
    <x v="191"/>
    <n v="7.57"/>
    <x v="0"/>
    <x v="9"/>
    <x v="0"/>
    <x v="9"/>
  </r>
  <r>
    <x v="192"/>
    <n v="74.989999999999995"/>
    <x v="0"/>
    <x v="13"/>
    <x v="1"/>
    <x v="9"/>
  </r>
  <r>
    <x v="192"/>
    <n v="29.98"/>
    <x v="0"/>
    <x v="0"/>
    <x v="0"/>
    <x v="9"/>
  </r>
  <r>
    <x v="193"/>
    <n v="2000"/>
    <x v="1"/>
    <x v="10"/>
    <x v="3"/>
    <x v="9"/>
  </r>
  <r>
    <x v="194"/>
    <n v="25.4"/>
    <x v="0"/>
    <x v="2"/>
    <x v="2"/>
    <x v="9"/>
  </r>
  <r>
    <x v="195"/>
    <n v="12.71"/>
    <x v="0"/>
    <x v="15"/>
    <x v="0"/>
    <x v="9"/>
  </r>
  <r>
    <x v="195"/>
    <n v="14.75"/>
    <x v="0"/>
    <x v="2"/>
    <x v="0"/>
    <x v="9"/>
  </r>
  <r>
    <x v="195"/>
    <n v="92.49"/>
    <x v="0"/>
    <x v="9"/>
    <x v="0"/>
    <x v="9"/>
  </r>
  <r>
    <x v="195"/>
    <n v="54"/>
    <x v="0"/>
    <x v="2"/>
    <x v="0"/>
    <x v="9"/>
  </r>
  <r>
    <x v="196"/>
    <n v="5.64"/>
    <x v="0"/>
    <x v="9"/>
    <x v="0"/>
    <x v="9"/>
  </r>
  <r>
    <x v="197"/>
    <n v="13.13"/>
    <x v="0"/>
    <x v="0"/>
    <x v="0"/>
    <x v="10"/>
  </r>
  <r>
    <x v="198"/>
    <n v="1209.18"/>
    <x v="0"/>
    <x v="1"/>
    <x v="1"/>
    <x v="10"/>
  </r>
  <r>
    <x v="199"/>
    <n v="23.66"/>
    <x v="0"/>
    <x v="11"/>
    <x v="0"/>
    <x v="10"/>
  </r>
  <r>
    <x v="200"/>
    <n v="11.76"/>
    <x v="0"/>
    <x v="3"/>
    <x v="0"/>
    <x v="10"/>
  </r>
  <r>
    <x v="201"/>
    <n v="36.51"/>
    <x v="0"/>
    <x v="8"/>
    <x v="0"/>
    <x v="10"/>
  </r>
  <r>
    <x v="202"/>
    <n v="53.95"/>
    <x v="0"/>
    <x v="0"/>
    <x v="0"/>
    <x v="10"/>
  </r>
  <r>
    <x v="202"/>
    <n v="30"/>
    <x v="0"/>
    <x v="5"/>
    <x v="1"/>
    <x v="10"/>
  </r>
  <r>
    <x v="203"/>
    <n v="5.64"/>
    <x v="0"/>
    <x v="9"/>
    <x v="0"/>
    <x v="10"/>
  </r>
  <r>
    <x v="204"/>
    <n v="10.69"/>
    <x v="0"/>
    <x v="6"/>
    <x v="0"/>
    <x v="10"/>
  </r>
  <r>
    <x v="204"/>
    <n v="2000"/>
    <x v="1"/>
    <x v="10"/>
    <x v="3"/>
    <x v="10"/>
  </r>
  <r>
    <x v="205"/>
    <n v="27"/>
    <x v="0"/>
    <x v="15"/>
    <x v="0"/>
    <x v="10"/>
  </r>
  <r>
    <x v="205"/>
    <n v="14.19"/>
    <x v="0"/>
    <x v="11"/>
    <x v="0"/>
    <x v="10"/>
  </r>
  <r>
    <x v="205"/>
    <n v="24.4"/>
    <x v="0"/>
    <x v="9"/>
    <x v="0"/>
    <x v="10"/>
  </r>
  <r>
    <x v="206"/>
    <n v="10.18"/>
    <x v="0"/>
    <x v="9"/>
    <x v="0"/>
    <x v="10"/>
  </r>
  <r>
    <x v="206"/>
    <n v="22.33"/>
    <x v="0"/>
    <x v="2"/>
    <x v="2"/>
    <x v="10"/>
  </r>
  <r>
    <x v="207"/>
    <n v="4.8"/>
    <x v="0"/>
    <x v="9"/>
    <x v="0"/>
    <x v="10"/>
  </r>
  <r>
    <x v="207"/>
    <n v="37.43"/>
    <x v="0"/>
    <x v="9"/>
    <x v="0"/>
    <x v="10"/>
  </r>
  <r>
    <x v="207"/>
    <n v="10.15"/>
    <x v="0"/>
    <x v="9"/>
    <x v="0"/>
    <x v="10"/>
  </r>
  <r>
    <x v="207"/>
    <n v="89.54"/>
    <x v="0"/>
    <x v="7"/>
    <x v="1"/>
    <x v="10"/>
  </r>
  <r>
    <x v="208"/>
    <n v="60"/>
    <x v="0"/>
    <x v="5"/>
    <x v="1"/>
    <x v="10"/>
  </r>
  <r>
    <x v="209"/>
    <n v="35"/>
    <x v="0"/>
    <x v="5"/>
    <x v="1"/>
    <x v="10"/>
  </r>
  <r>
    <x v="210"/>
    <n v="22.8"/>
    <x v="0"/>
    <x v="15"/>
    <x v="0"/>
    <x v="10"/>
  </r>
  <r>
    <x v="210"/>
    <n v="15.47"/>
    <x v="0"/>
    <x v="4"/>
    <x v="0"/>
    <x v="10"/>
  </r>
  <r>
    <x v="210"/>
    <n v="6.4"/>
    <x v="0"/>
    <x v="4"/>
    <x v="0"/>
    <x v="10"/>
  </r>
  <r>
    <x v="210"/>
    <n v="23.26"/>
    <x v="0"/>
    <x v="2"/>
    <x v="0"/>
    <x v="10"/>
  </r>
  <r>
    <x v="211"/>
    <n v="20"/>
    <x v="0"/>
    <x v="15"/>
    <x v="2"/>
    <x v="10"/>
  </r>
  <r>
    <x v="211"/>
    <n v="29.15"/>
    <x v="0"/>
    <x v="8"/>
    <x v="2"/>
    <x v="10"/>
  </r>
  <r>
    <x v="211"/>
    <n v="10.02"/>
    <x v="0"/>
    <x v="4"/>
    <x v="2"/>
    <x v="10"/>
  </r>
  <r>
    <x v="212"/>
    <n v="75"/>
    <x v="0"/>
    <x v="16"/>
    <x v="1"/>
    <x v="10"/>
  </r>
  <r>
    <x v="213"/>
    <n v="5.64"/>
    <x v="0"/>
    <x v="9"/>
    <x v="2"/>
    <x v="10"/>
  </r>
  <r>
    <x v="213"/>
    <n v="37.409999999999997"/>
    <x v="0"/>
    <x v="4"/>
    <x v="0"/>
    <x v="10"/>
  </r>
  <r>
    <x v="214"/>
    <n v="2000"/>
    <x v="1"/>
    <x v="10"/>
    <x v="3"/>
    <x v="10"/>
  </r>
  <r>
    <x v="215"/>
    <n v="16.8"/>
    <x v="0"/>
    <x v="15"/>
    <x v="2"/>
    <x v="10"/>
  </r>
  <r>
    <x v="215"/>
    <n v="74.989999999999995"/>
    <x v="0"/>
    <x v="13"/>
    <x v="1"/>
    <x v="10"/>
  </r>
  <r>
    <x v="216"/>
    <n v="17"/>
    <x v="0"/>
    <x v="3"/>
    <x v="2"/>
    <x v="10"/>
  </r>
  <r>
    <x v="216"/>
    <n v="28.4"/>
    <x v="0"/>
    <x v="2"/>
    <x v="2"/>
    <x v="10"/>
  </r>
  <r>
    <x v="217"/>
    <n v="6.27"/>
    <x v="0"/>
    <x v="9"/>
    <x v="2"/>
    <x v="10"/>
  </r>
  <r>
    <x v="218"/>
    <n v="5.64"/>
    <x v="0"/>
    <x v="9"/>
    <x v="2"/>
    <x v="11"/>
  </r>
  <r>
    <x v="218"/>
    <n v="8"/>
    <x v="0"/>
    <x v="2"/>
    <x v="2"/>
    <x v="11"/>
  </r>
  <r>
    <x v="218"/>
    <n v="13.13"/>
    <x v="0"/>
    <x v="0"/>
    <x v="0"/>
    <x v="11"/>
  </r>
  <r>
    <x v="219"/>
    <n v="30.03"/>
    <x v="0"/>
    <x v="8"/>
    <x v="2"/>
    <x v="11"/>
  </r>
  <r>
    <x v="219"/>
    <n v="148.15"/>
    <x v="0"/>
    <x v="9"/>
    <x v="2"/>
    <x v="11"/>
  </r>
  <r>
    <x v="219"/>
    <n v="1209.18"/>
    <x v="0"/>
    <x v="1"/>
    <x v="1"/>
    <x v="11"/>
  </r>
  <r>
    <x v="220"/>
    <n v="3"/>
    <x v="0"/>
    <x v="12"/>
    <x v="2"/>
    <x v="11"/>
  </r>
  <r>
    <x v="220"/>
    <n v="20.65"/>
    <x v="0"/>
    <x v="11"/>
    <x v="0"/>
    <x v="11"/>
  </r>
  <r>
    <x v="220"/>
    <n v="11.76"/>
    <x v="0"/>
    <x v="3"/>
    <x v="0"/>
    <x v="11"/>
  </r>
  <r>
    <x v="221"/>
    <n v="21.38"/>
    <x v="0"/>
    <x v="9"/>
    <x v="0"/>
    <x v="11"/>
  </r>
  <r>
    <x v="221"/>
    <n v="13.48"/>
    <x v="0"/>
    <x v="9"/>
    <x v="0"/>
    <x v="11"/>
  </r>
  <r>
    <x v="221"/>
    <n v="40"/>
    <x v="0"/>
    <x v="5"/>
    <x v="1"/>
    <x v="11"/>
  </r>
  <r>
    <x v="222"/>
    <n v="30"/>
    <x v="0"/>
    <x v="14"/>
    <x v="0"/>
    <x v="11"/>
  </r>
  <r>
    <x v="222"/>
    <n v="2000"/>
    <x v="1"/>
    <x v="10"/>
    <x v="3"/>
    <x v="11"/>
  </r>
  <r>
    <x v="223"/>
    <n v="12.64"/>
    <x v="0"/>
    <x v="9"/>
    <x v="0"/>
    <x v="11"/>
  </r>
  <r>
    <x v="224"/>
    <n v="10.69"/>
    <x v="0"/>
    <x v="6"/>
    <x v="0"/>
    <x v="11"/>
  </r>
  <r>
    <x v="225"/>
    <n v="10.29"/>
    <x v="0"/>
    <x v="2"/>
    <x v="0"/>
    <x v="11"/>
  </r>
  <r>
    <x v="226"/>
    <n v="89.54"/>
    <x v="0"/>
    <x v="7"/>
    <x v="1"/>
    <x v="11"/>
  </r>
  <r>
    <x v="227"/>
    <n v="27"/>
    <x v="0"/>
    <x v="2"/>
    <x v="2"/>
    <x v="11"/>
  </r>
  <r>
    <x v="228"/>
    <n v="21.39"/>
    <x v="0"/>
    <x v="9"/>
    <x v="2"/>
    <x v="11"/>
  </r>
  <r>
    <x v="228"/>
    <n v="17.100000000000001"/>
    <x v="0"/>
    <x v="4"/>
    <x v="2"/>
    <x v="11"/>
  </r>
  <r>
    <x v="228"/>
    <n v="60"/>
    <x v="0"/>
    <x v="5"/>
    <x v="1"/>
    <x v="11"/>
  </r>
  <r>
    <x v="229"/>
    <n v="63"/>
    <x v="0"/>
    <x v="2"/>
    <x v="2"/>
    <x v="11"/>
  </r>
  <r>
    <x v="229"/>
    <n v="20.010000000000002"/>
    <x v="0"/>
    <x v="8"/>
    <x v="2"/>
    <x v="11"/>
  </r>
  <r>
    <x v="229"/>
    <n v="35"/>
    <x v="0"/>
    <x v="5"/>
    <x v="1"/>
    <x v="11"/>
  </r>
  <r>
    <x v="230"/>
    <n v="3"/>
    <x v="0"/>
    <x v="12"/>
    <x v="2"/>
    <x v="11"/>
  </r>
  <r>
    <x v="230"/>
    <n v="56.52"/>
    <x v="0"/>
    <x v="2"/>
    <x v="2"/>
    <x v="11"/>
  </r>
  <r>
    <x v="230"/>
    <n v="49.99"/>
    <x v="0"/>
    <x v="0"/>
    <x v="0"/>
    <x v="11"/>
  </r>
  <r>
    <x v="230"/>
    <n v="41.72"/>
    <x v="0"/>
    <x v="0"/>
    <x v="0"/>
    <x v="11"/>
  </r>
  <r>
    <x v="230"/>
    <n v="24.3"/>
    <x v="0"/>
    <x v="0"/>
    <x v="0"/>
    <x v="11"/>
  </r>
  <r>
    <x v="231"/>
    <n v="75"/>
    <x v="0"/>
    <x v="16"/>
    <x v="1"/>
    <x v="11"/>
  </r>
  <r>
    <x v="231"/>
    <n v="43.01"/>
    <x v="0"/>
    <x v="0"/>
    <x v="0"/>
    <x v="11"/>
  </r>
  <r>
    <x v="232"/>
    <n v="30.38"/>
    <x v="0"/>
    <x v="8"/>
    <x v="2"/>
    <x v="11"/>
  </r>
  <r>
    <x v="233"/>
    <n v="2000"/>
    <x v="1"/>
    <x v="10"/>
    <x v="3"/>
    <x v="11"/>
  </r>
  <r>
    <x v="234"/>
    <n v="21.38"/>
    <x v="0"/>
    <x v="11"/>
    <x v="0"/>
    <x v="11"/>
  </r>
  <r>
    <x v="234"/>
    <n v="22.14"/>
    <x v="0"/>
    <x v="4"/>
    <x v="0"/>
    <x v="11"/>
  </r>
  <r>
    <x v="235"/>
    <n v="28"/>
    <x v="0"/>
    <x v="4"/>
    <x v="0"/>
    <x v="11"/>
  </r>
  <r>
    <x v="236"/>
    <n v="38.4"/>
    <x v="0"/>
    <x v="4"/>
    <x v="0"/>
    <x v="11"/>
  </r>
  <r>
    <x v="237"/>
    <n v="56.07"/>
    <x v="0"/>
    <x v="11"/>
    <x v="0"/>
    <x v="11"/>
  </r>
  <r>
    <x v="237"/>
    <n v="32.47"/>
    <x v="0"/>
    <x v="8"/>
    <x v="0"/>
    <x v="11"/>
  </r>
  <r>
    <x v="237"/>
    <n v="7.48"/>
    <x v="0"/>
    <x v="8"/>
    <x v="0"/>
    <x v="11"/>
  </r>
  <r>
    <x v="237"/>
    <n v="75.989999999999995"/>
    <x v="0"/>
    <x v="13"/>
    <x v="1"/>
    <x v="11"/>
  </r>
  <r>
    <x v="237"/>
    <n v="44.99"/>
    <x v="0"/>
    <x v="0"/>
    <x v="0"/>
    <x v="11"/>
  </r>
  <r>
    <x v="238"/>
    <n v="12"/>
    <x v="0"/>
    <x v="15"/>
    <x v="2"/>
    <x v="11"/>
  </r>
  <r>
    <x v="239"/>
    <n v="14"/>
    <x v="0"/>
    <x v="15"/>
    <x v="2"/>
    <x v="11"/>
  </r>
  <r>
    <x v="239"/>
    <n v="55.04"/>
    <x v="0"/>
    <x v="9"/>
    <x v="2"/>
    <x v="11"/>
  </r>
  <r>
    <x v="240"/>
    <n v="13.09"/>
    <x v="0"/>
    <x v="0"/>
    <x v="0"/>
    <x v="12"/>
  </r>
  <r>
    <x v="241"/>
    <n v="1100"/>
    <x v="0"/>
    <x v="1"/>
    <x v="1"/>
    <x v="12"/>
  </r>
  <r>
    <x v="241"/>
    <n v="42.1"/>
    <x v="0"/>
    <x v="0"/>
    <x v="0"/>
    <x v="12"/>
  </r>
  <r>
    <x v="242"/>
    <n v="2000"/>
    <x v="1"/>
    <x v="10"/>
    <x v="3"/>
    <x v="12"/>
  </r>
  <r>
    <x v="243"/>
    <n v="23.49"/>
    <x v="0"/>
    <x v="2"/>
    <x v="0"/>
    <x v="12"/>
  </r>
  <r>
    <x v="244"/>
    <n v="45"/>
    <x v="0"/>
    <x v="5"/>
    <x v="1"/>
    <x v="12"/>
  </r>
  <r>
    <x v="245"/>
    <n v="10.69"/>
    <x v="0"/>
    <x v="6"/>
    <x v="0"/>
    <x v="12"/>
  </r>
  <r>
    <x v="246"/>
    <n v="58.79"/>
    <x v="0"/>
    <x v="9"/>
    <x v="2"/>
    <x v="12"/>
  </r>
  <r>
    <x v="246"/>
    <n v="30"/>
    <x v="0"/>
    <x v="14"/>
    <x v="2"/>
    <x v="12"/>
  </r>
  <r>
    <x v="246"/>
    <n v="65"/>
    <x v="0"/>
    <x v="7"/>
    <x v="1"/>
    <x v="12"/>
  </r>
  <r>
    <x v="247"/>
    <n v="28.92"/>
    <x v="0"/>
    <x v="8"/>
    <x v="2"/>
    <x v="12"/>
  </r>
  <r>
    <x v="248"/>
    <n v="6.06"/>
    <x v="0"/>
    <x v="9"/>
    <x v="2"/>
    <x v="12"/>
  </r>
  <r>
    <x v="249"/>
    <n v="35"/>
    <x v="0"/>
    <x v="5"/>
    <x v="1"/>
    <x v="12"/>
  </r>
  <r>
    <x v="249"/>
    <n v="60"/>
    <x v="0"/>
    <x v="5"/>
    <x v="1"/>
    <x v="12"/>
  </r>
  <r>
    <x v="250"/>
    <n v="75"/>
    <x v="0"/>
    <x v="16"/>
    <x v="1"/>
    <x v="12"/>
  </r>
  <r>
    <x v="250"/>
    <n v="2000"/>
    <x v="1"/>
    <x v="10"/>
    <x v="3"/>
    <x v="12"/>
  </r>
  <r>
    <x v="251"/>
    <n v="21.06"/>
    <x v="0"/>
    <x v="9"/>
    <x v="2"/>
    <x v="12"/>
  </r>
  <r>
    <x v="251"/>
    <n v="11.7"/>
    <x v="0"/>
    <x v="0"/>
    <x v="0"/>
    <x v="12"/>
  </r>
  <r>
    <x v="251"/>
    <n v="4.21"/>
    <x v="0"/>
    <x v="0"/>
    <x v="0"/>
    <x v="12"/>
  </r>
  <r>
    <x v="252"/>
    <n v="75"/>
    <x v="0"/>
    <x v="13"/>
    <x v="1"/>
    <x v="12"/>
  </r>
  <r>
    <x v="253"/>
    <n v="31.32"/>
    <x v="0"/>
    <x v="8"/>
    <x v="2"/>
    <x v="12"/>
  </r>
  <r>
    <x v="254"/>
    <n v="2000"/>
    <x v="1"/>
    <x v="10"/>
    <x v="3"/>
    <x v="13"/>
  </r>
  <r>
    <x v="254"/>
    <n v="9.4700000000000006"/>
    <x v="0"/>
    <x v="2"/>
    <x v="2"/>
    <x v="13"/>
  </r>
  <r>
    <x v="254"/>
    <n v="13.09"/>
    <x v="0"/>
    <x v="0"/>
    <x v="0"/>
    <x v="13"/>
  </r>
  <r>
    <x v="255"/>
    <n v="86.97"/>
    <x v="0"/>
    <x v="4"/>
    <x v="2"/>
    <x v="13"/>
  </r>
  <r>
    <x v="255"/>
    <n v="11.76"/>
    <x v="0"/>
    <x v="18"/>
    <x v="0"/>
    <x v="13"/>
  </r>
  <r>
    <x v="256"/>
    <n v="1100"/>
    <x v="0"/>
    <x v="1"/>
    <x v="1"/>
    <x v="13"/>
  </r>
  <r>
    <x v="257"/>
    <n v="65"/>
    <x v="0"/>
    <x v="5"/>
    <x v="1"/>
    <x v="13"/>
  </r>
  <r>
    <x v="258"/>
    <n v="3"/>
    <x v="0"/>
    <x v="12"/>
    <x v="0"/>
    <x v="13"/>
  </r>
  <r>
    <x v="258"/>
    <n v="27.47"/>
    <x v="0"/>
    <x v="2"/>
    <x v="0"/>
    <x v="13"/>
  </r>
  <r>
    <x v="259"/>
    <n v="10.69"/>
    <x v="0"/>
    <x v="6"/>
    <x v="0"/>
    <x v="13"/>
  </r>
  <r>
    <x v="260"/>
    <n v="3"/>
    <x v="0"/>
    <x v="12"/>
    <x v="0"/>
    <x v="13"/>
  </r>
  <r>
    <x v="260"/>
    <n v="24.01"/>
    <x v="0"/>
    <x v="8"/>
    <x v="0"/>
    <x v="13"/>
  </r>
  <r>
    <x v="261"/>
    <n v="30.54"/>
    <x v="0"/>
    <x v="9"/>
    <x v="0"/>
    <x v="13"/>
  </r>
  <r>
    <x v="261"/>
    <n v="65"/>
    <x v="0"/>
    <x v="7"/>
    <x v="1"/>
    <x v="13"/>
  </r>
  <r>
    <x v="262"/>
    <n v="8.2100000000000009"/>
    <x v="0"/>
    <x v="9"/>
    <x v="0"/>
    <x v="13"/>
  </r>
  <r>
    <x v="263"/>
    <n v="4.59"/>
    <x v="0"/>
    <x v="9"/>
    <x v="0"/>
    <x v="13"/>
  </r>
  <r>
    <x v="263"/>
    <n v="2000"/>
    <x v="1"/>
    <x v="10"/>
    <x v="3"/>
    <x v="13"/>
  </r>
  <r>
    <x v="263"/>
    <n v="60"/>
    <x v="0"/>
    <x v="5"/>
    <x v="1"/>
    <x v="13"/>
  </r>
  <r>
    <x v="264"/>
    <n v="8"/>
    <x v="0"/>
    <x v="15"/>
    <x v="0"/>
    <x v="13"/>
  </r>
  <r>
    <x v="264"/>
    <n v="32.75"/>
    <x v="0"/>
    <x v="2"/>
    <x v="0"/>
    <x v="13"/>
  </r>
  <r>
    <x v="264"/>
    <n v="37.450000000000003"/>
    <x v="0"/>
    <x v="0"/>
    <x v="0"/>
    <x v="13"/>
  </r>
  <r>
    <x v="265"/>
    <n v="35"/>
    <x v="0"/>
    <x v="5"/>
    <x v="1"/>
    <x v="13"/>
  </r>
  <r>
    <x v="266"/>
    <n v="75"/>
    <x v="0"/>
    <x v="16"/>
    <x v="1"/>
    <x v="13"/>
  </r>
  <r>
    <x v="266"/>
    <n v="30"/>
    <x v="0"/>
    <x v="14"/>
    <x v="0"/>
    <x v="13"/>
  </r>
  <r>
    <x v="267"/>
    <n v="46.96"/>
    <x v="0"/>
    <x v="9"/>
    <x v="2"/>
    <x v="13"/>
  </r>
  <r>
    <x v="268"/>
    <n v="33.799999999999997"/>
    <x v="0"/>
    <x v="8"/>
    <x v="2"/>
    <x v="13"/>
  </r>
  <r>
    <x v="268"/>
    <n v="75"/>
    <x v="0"/>
    <x v="13"/>
    <x v="1"/>
    <x v="13"/>
  </r>
  <r>
    <x v="269"/>
    <n v="25.77"/>
    <x v="0"/>
    <x v="2"/>
    <x v="2"/>
    <x v="13"/>
  </r>
  <r>
    <x v="270"/>
    <n v="32.07"/>
    <x v="0"/>
    <x v="9"/>
    <x v="2"/>
    <x v="13"/>
  </r>
  <r>
    <x v="271"/>
    <n v="2000"/>
    <x v="1"/>
    <x v="10"/>
    <x v="3"/>
    <x v="14"/>
  </r>
  <r>
    <x v="271"/>
    <n v="13.09"/>
    <x v="0"/>
    <x v="0"/>
    <x v="0"/>
    <x v="14"/>
  </r>
  <r>
    <x v="272"/>
    <n v="92.04"/>
    <x v="0"/>
    <x v="9"/>
    <x v="2"/>
    <x v="14"/>
  </r>
  <r>
    <x v="272"/>
    <n v="1100"/>
    <x v="0"/>
    <x v="1"/>
    <x v="1"/>
    <x v="14"/>
  </r>
  <r>
    <x v="272"/>
    <n v="11.76"/>
    <x v="0"/>
    <x v="18"/>
    <x v="0"/>
    <x v="14"/>
  </r>
  <r>
    <x v="273"/>
    <n v="7"/>
    <x v="0"/>
    <x v="2"/>
    <x v="2"/>
    <x v="14"/>
  </r>
  <r>
    <x v="274"/>
    <n v="34.08"/>
    <x v="0"/>
    <x v="8"/>
    <x v="0"/>
    <x v="14"/>
  </r>
  <r>
    <x v="274"/>
    <n v="27.17"/>
    <x v="0"/>
    <x v="0"/>
    <x v="0"/>
    <x v="14"/>
  </r>
  <r>
    <x v="274"/>
    <n v="49"/>
    <x v="0"/>
    <x v="5"/>
    <x v="1"/>
    <x v="14"/>
  </r>
  <r>
    <x v="275"/>
    <n v="10.69"/>
    <x v="0"/>
    <x v="6"/>
    <x v="0"/>
    <x v="14"/>
  </r>
  <r>
    <x v="276"/>
    <n v="65"/>
    <x v="0"/>
    <x v="7"/>
    <x v="1"/>
    <x v="14"/>
  </r>
  <r>
    <x v="276"/>
    <n v="3.02"/>
    <x v="0"/>
    <x v="2"/>
    <x v="0"/>
    <x v="14"/>
  </r>
  <r>
    <x v="277"/>
    <n v="8"/>
    <x v="0"/>
    <x v="2"/>
    <x v="0"/>
    <x v="14"/>
  </r>
  <r>
    <x v="278"/>
    <n v="2000"/>
    <x v="1"/>
    <x v="10"/>
    <x v="3"/>
    <x v="14"/>
  </r>
  <r>
    <x v="278"/>
    <n v="60"/>
    <x v="0"/>
    <x v="5"/>
    <x v="1"/>
    <x v="14"/>
  </r>
  <r>
    <x v="279"/>
    <n v="320.99"/>
    <x v="0"/>
    <x v="19"/>
    <x v="0"/>
    <x v="14"/>
  </r>
  <r>
    <x v="279"/>
    <n v="16.23"/>
    <x v="0"/>
    <x v="9"/>
    <x v="0"/>
    <x v="14"/>
  </r>
  <r>
    <x v="280"/>
    <n v="13.84"/>
    <x v="0"/>
    <x v="0"/>
    <x v="0"/>
    <x v="14"/>
  </r>
  <r>
    <x v="280"/>
    <n v="35"/>
    <x v="0"/>
    <x v="5"/>
    <x v="1"/>
    <x v="14"/>
  </r>
  <r>
    <x v="281"/>
    <n v="75"/>
    <x v="0"/>
    <x v="16"/>
    <x v="1"/>
    <x v="14"/>
  </r>
  <r>
    <x v="282"/>
    <n v="37.51"/>
    <x v="0"/>
    <x v="8"/>
    <x v="0"/>
    <x v="14"/>
  </r>
  <r>
    <x v="283"/>
    <n v="5.2"/>
    <x v="0"/>
    <x v="12"/>
    <x v="0"/>
    <x v="14"/>
  </r>
  <r>
    <x v="284"/>
    <n v="75"/>
    <x v="0"/>
    <x v="13"/>
    <x v="1"/>
    <x v="14"/>
  </r>
  <r>
    <x v="285"/>
    <n v="16.04"/>
    <x v="0"/>
    <x v="0"/>
    <x v="0"/>
    <x v="14"/>
  </r>
  <r>
    <x v="286"/>
    <n v="49.63"/>
    <x v="0"/>
    <x v="15"/>
    <x v="0"/>
    <x v="14"/>
  </r>
  <r>
    <x v="286"/>
    <n v="4.46"/>
    <x v="0"/>
    <x v="9"/>
    <x v="0"/>
    <x v="14"/>
  </r>
  <r>
    <x v="287"/>
    <n v="2000"/>
    <x v="1"/>
    <x v="10"/>
    <x v="3"/>
    <x v="14"/>
  </r>
  <r>
    <x v="288"/>
    <n v="12.84"/>
    <x v="0"/>
    <x v="12"/>
    <x v="0"/>
    <x v="14"/>
  </r>
  <r>
    <x v="289"/>
    <n v="13.09"/>
    <x v="0"/>
    <x v="0"/>
    <x v="0"/>
    <x v="15"/>
  </r>
  <r>
    <x v="290"/>
    <n v="1100"/>
    <x v="0"/>
    <x v="1"/>
    <x v="1"/>
    <x v="15"/>
  </r>
  <r>
    <x v="291"/>
    <n v="5.64"/>
    <x v="0"/>
    <x v="9"/>
    <x v="0"/>
    <x v="15"/>
  </r>
  <r>
    <x v="291"/>
    <n v="35.9"/>
    <x v="0"/>
    <x v="0"/>
    <x v="0"/>
    <x v="15"/>
  </r>
  <r>
    <x v="291"/>
    <n v="11.76"/>
    <x v="0"/>
    <x v="18"/>
    <x v="0"/>
    <x v="15"/>
  </r>
  <r>
    <x v="292"/>
    <n v="27.54"/>
    <x v="0"/>
    <x v="0"/>
    <x v="0"/>
    <x v="15"/>
  </r>
  <r>
    <x v="293"/>
    <n v="30"/>
    <x v="0"/>
    <x v="5"/>
    <x v="1"/>
    <x v="15"/>
  </r>
  <r>
    <x v="294"/>
    <n v="10.7"/>
    <x v="0"/>
    <x v="9"/>
    <x v="0"/>
    <x v="15"/>
  </r>
  <r>
    <x v="294"/>
    <n v="30"/>
    <x v="0"/>
    <x v="14"/>
    <x v="0"/>
    <x v="15"/>
  </r>
  <r>
    <x v="294"/>
    <n v="10.69"/>
    <x v="0"/>
    <x v="6"/>
    <x v="0"/>
    <x v="15"/>
  </r>
  <r>
    <x v="295"/>
    <n v="65"/>
    <x v="0"/>
    <x v="7"/>
    <x v="1"/>
    <x v="15"/>
  </r>
  <r>
    <x v="296"/>
    <n v="44.93"/>
    <x v="0"/>
    <x v="19"/>
    <x v="2"/>
    <x v="15"/>
  </r>
  <r>
    <x v="296"/>
    <n v="41.34"/>
    <x v="0"/>
    <x v="9"/>
    <x v="0"/>
    <x v="15"/>
  </r>
  <r>
    <x v="296"/>
    <n v="2000"/>
    <x v="1"/>
    <x v="10"/>
    <x v="3"/>
    <x v="15"/>
  </r>
  <r>
    <x v="297"/>
    <n v="38.94"/>
    <x v="0"/>
    <x v="8"/>
    <x v="0"/>
    <x v="15"/>
  </r>
  <r>
    <x v="297"/>
    <n v="16.87"/>
    <x v="0"/>
    <x v="9"/>
    <x v="0"/>
    <x v="15"/>
  </r>
  <r>
    <x v="297"/>
    <n v="20.64"/>
    <x v="0"/>
    <x v="2"/>
    <x v="0"/>
    <x v="15"/>
  </r>
  <r>
    <x v="298"/>
    <n v="60"/>
    <x v="0"/>
    <x v="5"/>
    <x v="1"/>
    <x v="15"/>
  </r>
  <r>
    <x v="299"/>
    <n v="35"/>
    <x v="0"/>
    <x v="5"/>
    <x v="1"/>
    <x v="15"/>
  </r>
  <r>
    <x v="300"/>
    <n v="75"/>
    <x v="0"/>
    <x v="16"/>
    <x v="1"/>
    <x v="15"/>
  </r>
  <r>
    <x v="301"/>
    <n v="10.89"/>
    <x v="0"/>
    <x v="9"/>
    <x v="0"/>
    <x v="15"/>
  </r>
  <r>
    <x v="302"/>
    <n v="14.4"/>
    <x v="0"/>
    <x v="15"/>
    <x v="2"/>
    <x v="15"/>
  </r>
  <r>
    <x v="302"/>
    <n v="64.52"/>
    <x v="0"/>
    <x v="2"/>
    <x v="2"/>
    <x v="15"/>
  </r>
  <r>
    <x v="303"/>
    <n v="29.56"/>
    <x v="0"/>
    <x v="4"/>
    <x v="2"/>
    <x v="15"/>
  </r>
  <r>
    <x v="304"/>
    <n v="75"/>
    <x v="0"/>
    <x v="13"/>
    <x v="1"/>
    <x v="15"/>
  </r>
  <r>
    <x v="305"/>
    <n v="2000"/>
    <x v="1"/>
    <x v="10"/>
    <x v="3"/>
    <x v="15"/>
  </r>
  <r>
    <x v="306"/>
    <n v="40"/>
    <x v="0"/>
    <x v="15"/>
    <x v="0"/>
    <x v="15"/>
  </r>
  <r>
    <x v="306"/>
    <n v="14.74"/>
    <x v="0"/>
    <x v="2"/>
    <x v="2"/>
    <x v="15"/>
  </r>
  <r>
    <x v="307"/>
    <n v="5.64"/>
    <x v="0"/>
    <x v="9"/>
    <x v="0"/>
    <x v="15"/>
  </r>
  <r>
    <x v="308"/>
    <n v="39.08"/>
    <x v="0"/>
    <x v="8"/>
    <x v="0"/>
    <x v="15"/>
  </r>
  <r>
    <x v="309"/>
    <n v="13.09"/>
    <x v="0"/>
    <x v="0"/>
    <x v="0"/>
    <x v="16"/>
  </r>
  <r>
    <x v="310"/>
    <n v="1100"/>
    <x v="0"/>
    <x v="1"/>
    <x v="1"/>
    <x v="16"/>
  </r>
  <r>
    <x v="311"/>
    <n v="13.9"/>
    <x v="0"/>
    <x v="18"/>
    <x v="0"/>
    <x v="16"/>
  </r>
  <r>
    <x v="312"/>
    <n v="16.940000000000001"/>
    <x v="0"/>
    <x v="0"/>
    <x v="0"/>
    <x v="16"/>
  </r>
  <r>
    <x v="313"/>
    <n v="38.56"/>
    <x v="0"/>
    <x v="0"/>
    <x v="0"/>
    <x v="16"/>
  </r>
  <r>
    <x v="314"/>
    <n v="331.69"/>
    <x v="0"/>
    <x v="19"/>
    <x v="0"/>
    <x v="16"/>
  </r>
  <r>
    <x v="314"/>
    <n v="10.69"/>
    <x v="0"/>
    <x v="6"/>
    <x v="0"/>
    <x v="16"/>
  </r>
  <r>
    <x v="314"/>
    <n v="3.2"/>
    <x v="0"/>
    <x v="0"/>
    <x v="0"/>
    <x v="16"/>
  </r>
  <r>
    <x v="314"/>
    <n v="30"/>
    <x v="0"/>
    <x v="5"/>
    <x v="1"/>
    <x v="16"/>
  </r>
  <r>
    <x v="315"/>
    <n v="21.39"/>
    <x v="0"/>
    <x v="19"/>
    <x v="2"/>
    <x v="16"/>
  </r>
  <r>
    <x v="315"/>
    <n v="65"/>
    <x v="0"/>
    <x v="7"/>
    <x v="1"/>
    <x v="16"/>
  </r>
  <r>
    <x v="315"/>
    <n v="2000"/>
    <x v="1"/>
    <x v="10"/>
    <x v="3"/>
    <x v="16"/>
  </r>
  <r>
    <x v="316"/>
    <n v="35.24"/>
    <x v="0"/>
    <x v="8"/>
    <x v="2"/>
    <x v="16"/>
  </r>
  <r>
    <x v="316"/>
    <n v="98.19"/>
    <x v="0"/>
    <x v="2"/>
    <x v="2"/>
    <x v="16"/>
  </r>
  <r>
    <x v="316"/>
    <n v="23.11"/>
    <x v="0"/>
    <x v="2"/>
    <x v="2"/>
    <x v="16"/>
  </r>
  <r>
    <x v="317"/>
    <n v="2.02"/>
    <x v="0"/>
    <x v="9"/>
    <x v="2"/>
    <x v="16"/>
  </r>
  <r>
    <x v="318"/>
    <n v="60"/>
    <x v="0"/>
    <x v="5"/>
    <x v="1"/>
    <x v="16"/>
  </r>
  <r>
    <x v="319"/>
    <n v="35"/>
    <x v="0"/>
    <x v="5"/>
    <x v="1"/>
    <x v="16"/>
  </r>
  <r>
    <x v="320"/>
    <n v="75"/>
    <x v="0"/>
    <x v="16"/>
    <x v="1"/>
    <x v="16"/>
  </r>
  <r>
    <x v="320"/>
    <n v="32.53"/>
    <x v="0"/>
    <x v="2"/>
    <x v="2"/>
    <x v="16"/>
  </r>
  <r>
    <x v="321"/>
    <n v="27.96"/>
    <x v="0"/>
    <x v="4"/>
    <x v="0"/>
    <x v="16"/>
  </r>
  <r>
    <x v="321"/>
    <n v="2000"/>
    <x v="1"/>
    <x v="10"/>
    <x v="3"/>
    <x v="16"/>
  </r>
  <r>
    <x v="321"/>
    <n v="8"/>
    <x v="0"/>
    <x v="2"/>
    <x v="0"/>
    <x v="16"/>
  </r>
  <r>
    <x v="322"/>
    <n v="36.76"/>
    <x v="0"/>
    <x v="8"/>
    <x v="0"/>
    <x v="16"/>
  </r>
  <r>
    <x v="322"/>
    <n v="30.99"/>
    <x v="0"/>
    <x v="4"/>
    <x v="0"/>
    <x v="16"/>
  </r>
  <r>
    <x v="323"/>
    <n v="34.33"/>
    <x v="0"/>
    <x v="2"/>
    <x v="0"/>
    <x v="16"/>
  </r>
  <r>
    <x v="324"/>
    <n v="75"/>
    <x v="0"/>
    <x v="13"/>
    <x v="1"/>
    <x v="16"/>
  </r>
  <r>
    <x v="324"/>
    <n v="34.82"/>
    <x v="0"/>
    <x v="2"/>
    <x v="0"/>
    <x v="16"/>
  </r>
  <r>
    <x v="325"/>
    <n v="13.09"/>
    <x v="0"/>
    <x v="0"/>
    <x v="0"/>
    <x v="17"/>
  </r>
  <r>
    <x v="326"/>
    <n v="2.75"/>
    <x v="0"/>
    <x v="12"/>
    <x v="0"/>
    <x v="17"/>
  </r>
  <r>
    <x v="326"/>
    <n v="1100"/>
    <x v="0"/>
    <x v="1"/>
    <x v="1"/>
    <x v="17"/>
  </r>
  <r>
    <x v="327"/>
    <n v="30"/>
    <x v="0"/>
    <x v="14"/>
    <x v="0"/>
    <x v="17"/>
  </r>
  <r>
    <x v="327"/>
    <n v="13.9"/>
    <x v="0"/>
    <x v="18"/>
    <x v="0"/>
    <x v="17"/>
  </r>
  <r>
    <x v="328"/>
    <n v="23"/>
    <x v="0"/>
    <x v="9"/>
    <x v="0"/>
    <x v="17"/>
  </r>
  <r>
    <x v="328"/>
    <n v="23.24"/>
    <x v="0"/>
    <x v="2"/>
    <x v="0"/>
    <x v="17"/>
  </r>
  <r>
    <x v="329"/>
    <n v="3.75"/>
    <x v="0"/>
    <x v="12"/>
    <x v="0"/>
    <x v="17"/>
  </r>
  <r>
    <x v="329"/>
    <n v="5.64"/>
    <x v="0"/>
    <x v="9"/>
    <x v="0"/>
    <x v="17"/>
  </r>
  <r>
    <x v="330"/>
    <n v="2000"/>
    <x v="1"/>
    <x v="10"/>
    <x v="3"/>
    <x v="17"/>
  </r>
  <r>
    <x v="330"/>
    <n v="30"/>
    <x v="0"/>
    <x v="5"/>
    <x v="1"/>
    <x v="17"/>
  </r>
  <r>
    <x v="331"/>
    <n v="10.69"/>
    <x v="0"/>
    <x v="6"/>
    <x v="0"/>
    <x v="17"/>
  </r>
  <r>
    <x v="332"/>
    <n v="65"/>
    <x v="0"/>
    <x v="7"/>
    <x v="1"/>
    <x v="17"/>
  </r>
  <r>
    <x v="333"/>
    <n v="10.69"/>
    <x v="0"/>
    <x v="9"/>
    <x v="2"/>
    <x v="17"/>
  </r>
  <r>
    <x v="334"/>
    <n v="33.159999999999997"/>
    <x v="0"/>
    <x v="8"/>
    <x v="2"/>
    <x v="17"/>
  </r>
  <r>
    <x v="335"/>
    <n v="35"/>
    <x v="0"/>
    <x v="5"/>
    <x v="1"/>
    <x v="17"/>
  </r>
  <r>
    <x v="335"/>
    <n v="60"/>
    <x v="0"/>
    <x v="5"/>
    <x v="1"/>
    <x v="17"/>
  </r>
  <r>
    <x v="336"/>
    <n v="15"/>
    <x v="0"/>
    <x v="15"/>
    <x v="2"/>
    <x v="17"/>
  </r>
  <r>
    <x v="336"/>
    <n v="41.83"/>
    <x v="0"/>
    <x v="8"/>
    <x v="2"/>
    <x v="17"/>
  </r>
  <r>
    <x v="337"/>
    <n v="75"/>
    <x v="0"/>
    <x v="16"/>
    <x v="1"/>
    <x v="17"/>
  </r>
  <r>
    <x v="338"/>
    <n v="9200"/>
    <x v="0"/>
    <x v="4"/>
    <x v="1"/>
    <x v="17"/>
  </r>
  <r>
    <x v="339"/>
    <n v="2000"/>
    <x v="1"/>
    <x v="10"/>
    <x v="3"/>
    <x v="17"/>
  </r>
  <r>
    <x v="340"/>
    <n v="15"/>
    <x v="0"/>
    <x v="15"/>
    <x v="2"/>
    <x v="17"/>
  </r>
  <r>
    <x v="341"/>
    <n v="30.64"/>
    <x v="0"/>
    <x v="8"/>
    <x v="2"/>
    <x v="17"/>
  </r>
  <r>
    <x v="342"/>
    <n v="75"/>
    <x v="0"/>
    <x v="13"/>
    <x v="1"/>
    <x v="17"/>
  </r>
  <r>
    <x v="343"/>
    <n v="7"/>
    <x v="0"/>
    <x v="12"/>
    <x v="2"/>
    <x v="18"/>
  </r>
  <r>
    <x v="343"/>
    <n v="99.47"/>
    <x v="0"/>
    <x v="9"/>
    <x v="2"/>
    <x v="18"/>
  </r>
  <r>
    <x v="343"/>
    <n v="24.97"/>
    <x v="0"/>
    <x v="2"/>
    <x v="2"/>
    <x v="18"/>
  </r>
  <r>
    <x v="343"/>
    <n v="24"/>
    <x v="0"/>
    <x v="2"/>
    <x v="2"/>
    <x v="18"/>
  </r>
  <r>
    <x v="343"/>
    <n v="13.09"/>
    <x v="0"/>
    <x v="0"/>
    <x v="0"/>
    <x v="18"/>
  </r>
  <r>
    <x v="344"/>
    <n v="229.9"/>
    <x v="0"/>
    <x v="4"/>
    <x v="0"/>
    <x v="18"/>
  </r>
  <r>
    <x v="344"/>
    <n v="1100"/>
    <x v="0"/>
    <x v="1"/>
    <x v="1"/>
    <x v="18"/>
  </r>
  <r>
    <x v="345"/>
    <n v="13.9"/>
    <x v="0"/>
    <x v="18"/>
    <x v="0"/>
    <x v="18"/>
  </r>
  <r>
    <x v="346"/>
    <n v="19"/>
    <x v="0"/>
    <x v="15"/>
    <x v="2"/>
    <x v="18"/>
  </r>
  <r>
    <x v="346"/>
    <n v="2250"/>
    <x v="1"/>
    <x v="10"/>
    <x v="3"/>
    <x v="18"/>
  </r>
  <r>
    <x v="347"/>
    <n v="92.98"/>
    <x v="0"/>
    <x v="9"/>
    <x v="0"/>
    <x v="18"/>
  </r>
  <r>
    <x v="347"/>
    <n v="23.26"/>
    <x v="0"/>
    <x v="2"/>
    <x v="0"/>
    <x v="18"/>
  </r>
  <r>
    <x v="348"/>
    <n v="103.14"/>
    <x v="0"/>
    <x v="4"/>
    <x v="0"/>
    <x v="18"/>
  </r>
  <r>
    <x v="349"/>
    <n v="10.69"/>
    <x v="0"/>
    <x v="6"/>
    <x v="0"/>
    <x v="18"/>
  </r>
  <r>
    <x v="350"/>
    <n v="65"/>
    <x v="0"/>
    <x v="7"/>
    <x v="1"/>
    <x v="18"/>
  </r>
  <r>
    <x v="350"/>
    <n v="30"/>
    <x v="0"/>
    <x v="5"/>
    <x v="1"/>
    <x v="18"/>
  </r>
  <r>
    <x v="351"/>
    <n v="87.14"/>
    <x v="0"/>
    <x v="9"/>
    <x v="2"/>
    <x v="18"/>
  </r>
  <r>
    <x v="352"/>
    <n v="89.99"/>
    <x v="0"/>
    <x v="0"/>
    <x v="0"/>
    <x v="18"/>
  </r>
  <r>
    <x v="352"/>
    <n v="60"/>
    <x v="0"/>
    <x v="5"/>
    <x v="1"/>
    <x v="18"/>
  </r>
  <r>
    <x v="353"/>
    <n v="35"/>
    <x v="0"/>
    <x v="5"/>
    <x v="1"/>
    <x v="18"/>
  </r>
  <r>
    <x v="354"/>
    <n v="75"/>
    <x v="0"/>
    <x v="16"/>
    <x v="1"/>
    <x v="18"/>
  </r>
  <r>
    <x v="354"/>
    <n v="36.42"/>
    <x v="0"/>
    <x v="8"/>
    <x v="2"/>
    <x v="18"/>
  </r>
  <r>
    <x v="354"/>
    <n v="29.83"/>
    <x v="0"/>
    <x v="9"/>
    <x v="0"/>
    <x v="18"/>
  </r>
  <r>
    <x v="354"/>
    <n v="8.82"/>
    <x v="0"/>
    <x v="2"/>
    <x v="0"/>
    <x v="18"/>
  </r>
  <r>
    <x v="355"/>
    <n v="2250"/>
    <x v="1"/>
    <x v="10"/>
    <x v="3"/>
    <x v="18"/>
  </r>
  <r>
    <x v="355"/>
    <n v="28"/>
    <x v="0"/>
    <x v="2"/>
    <x v="0"/>
    <x v="18"/>
  </r>
  <r>
    <x v="356"/>
    <n v="26.67"/>
    <x v="0"/>
    <x v="2"/>
    <x v="2"/>
    <x v="18"/>
  </r>
  <r>
    <x v="357"/>
    <n v="2.5"/>
    <x v="0"/>
    <x v="12"/>
    <x v="2"/>
    <x v="18"/>
  </r>
  <r>
    <x v="358"/>
    <n v="30"/>
    <x v="0"/>
    <x v="14"/>
    <x v="2"/>
    <x v="18"/>
  </r>
  <r>
    <x v="359"/>
    <n v="44.31"/>
    <x v="0"/>
    <x v="4"/>
    <x v="0"/>
    <x v="18"/>
  </r>
  <r>
    <x v="360"/>
    <n v="5.35"/>
    <x v="0"/>
    <x v="9"/>
    <x v="0"/>
    <x v="18"/>
  </r>
  <r>
    <x v="360"/>
    <n v="44.92"/>
    <x v="0"/>
    <x v="2"/>
    <x v="2"/>
    <x v="18"/>
  </r>
  <r>
    <x v="361"/>
    <n v="15.77"/>
    <x v="0"/>
    <x v="9"/>
    <x v="0"/>
    <x v="18"/>
  </r>
  <r>
    <x v="361"/>
    <n v="75"/>
    <x v="0"/>
    <x v="13"/>
    <x v="1"/>
    <x v="18"/>
  </r>
  <r>
    <x v="362"/>
    <n v="13.09"/>
    <x v="0"/>
    <x v="0"/>
    <x v="0"/>
    <x v="19"/>
  </r>
  <r>
    <x v="363"/>
    <n v="1100"/>
    <x v="0"/>
    <x v="1"/>
    <x v="1"/>
    <x v="19"/>
  </r>
  <r>
    <x v="363"/>
    <n v="2250"/>
    <x v="1"/>
    <x v="10"/>
    <x v="3"/>
    <x v="19"/>
  </r>
  <r>
    <x v="364"/>
    <n v="36.36"/>
    <x v="0"/>
    <x v="8"/>
    <x v="0"/>
    <x v="19"/>
  </r>
  <r>
    <x v="364"/>
    <n v="3.96"/>
    <x v="0"/>
    <x v="9"/>
    <x v="0"/>
    <x v="19"/>
  </r>
  <r>
    <x v="364"/>
    <n v="23.47"/>
    <x v="0"/>
    <x v="2"/>
    <x v="0"/>
    <x v="19"/>
  </r>
  <r>
    <x v="365"/>
    <n v="13.9"/>
    <x v="0"/>
    <x v="18"/>
    <x v="0"/>
    <x v="19"/>
  </r>
  <r>
    <x v="366"/>
    <n v="18"/>
    <x v="0"/>
    <x v="15"/>
    <x v="2"/>
    <x v="19"/>
  </r>
  <r>
    <x v="367"/>
    <n v="125"/>
    <x v="0"/>
    <x v="4"/>
    <x v="1"/>
    <x v="19"/>
  </r>
  <r>
    <x v="368"/>
    <n v="11.72"/>
    <x v="0"/>
    <x v="9"/>
    <x v="2"/>
    <x v="19"/>
  </r>
  <r>
    <x v="369"/>
    <n v="10.69"/>
    <x v="0"/>
    <x v="6"/>
    <x v="0"/>
    <x v="19"/>
  </r>
  <r>
    <x v="369"/>
    <n v="30"/>
    <x v="0"/>
    <x v="5"/>
    <x v="1"/>
    <x v="19"/>
  </r>
  <r>
    <x v="370"/>
    <n v="65"/>
    <x v="0"/>
    <x v="7"/>
    <x v="1"/>
    <x v="19"/>
  </r>
  <r>
    <x v="370"/>
    <n v="26.67"/>
    <x v="0"/>
    <x v="2"/>
    <x v="2"/>
    <x v="19"/>
  </r>
  <r>
    <x v="371"/>
    <n v="2.75"/>
    <x v="0"/>
    <x v="12"/>
    <x v="0"/>
    <x v="19"/>
  </r>
  <r>
    <x v="372"/>
    <n v="60"/>
    <x v="0"/>
    <x v="5"/>
    <x v="1"/>
    <x v="19"/>
  </r>
  <r>
    <x v="373"/>
    <n v="2250"/>
    <x v="1"/>
    <x v="10"/>
    <x v="3"/>
    <x v="19"/>
  </r>
  <r>
    <x v="373"/>
    <n v="35"/>
    <x v="0"/>
    <x v="5"/>
    <x v="1"/>
    <x v="19"/>
  </r>
  <r>
    <x v="374"/>
    <n v="33.15"/>
    <x v="0"/>
    <x v="9"/>
    <x v="0"/>
    <x v="19"/>
  </r>
  <r>
    <x v="374"/>
    <n v="19"/>
    <x v="0"/>
    <x v="14"/>
    <x v="0"/>
    <x v="19"/>
  </r>
  <r>
    <x v="374"/>
    <n v="3.5"/>
    <x v="0"/>
    <x v="2"/>
    <x v="0"/>
    <x v="19"/>
  </r>
  <r>
    <x v="375"/>
    <n v="75"/>
    <x v="0"/>
    <x v="16"/>
    <x v="1"/>
    <x v="19"/>
  </r>
  <r>
    <x v="375"/>
    <n v="2.75"/>
    <x v="0"/>
    <x v="12"/>
    <x v="0"/>
    <x v="19"/>
  </r>
  <r>
    <x v="376"/>
    <n v="34.69"/>
    <x v="0"/>
    <x v="8"/>
    <x v="0"/>
    <x v="19"/>
  </r>
  <r>
    <x v="377"/>
    <n v="2.75"/>
    <x v="0"/>
    <x v="12"/>
    <x v="0"/>
    <x v="19"/>
  </r>
  <r>
    <x v="378"/>
    <n v="39.43"/>
    <x v="0"/>
    <x v="2"/>
    <x v="0"/>
    <x v="19"/>
  </r>
  <r>
    <x v="379"/>
    <n v="66.75"/>
    <x v="0"/>
    <x v="4"/>
    <x v="2"/>
    <x v="19"/>
  </r>
  <r>
    <x v="380"/>
    <n v="3"/>
    <x v="0"/>
    <x v="12"/>
    <x v="0"/>
    <x v="19"/>
  </r>
  <r>
    <x v="381"/>
    <n v="2.75"/>
    <x v="0"/>
    <x v="12"/>
    <x v="0"/>
    <x v="19"/>
  </r>
  <r>
    <x v="381"/>
    <n v="75"/>
    <x v="0"/>
    <x v="13"/>
    <x v="1"/>
    <x v="19"/>
  </r>
  <r>
    <x v="381"/>
    <n v="2250"/>
    <x v="1"/>
    <x v="10"/>
    <x v="3"/>
    <x v="19"/>
  </r>
  <r>
    <x v="382"/>
    <n v="68.040000000000006"/>
    <x v="0"/>
    <x v="4"/>
    <x v="0"/>
    <x v="19"/>
  </r>
  <r>
    <x v="382"/>
    <n v="41.78"/>
    <x v="0"/>
    <x v="2"/>
    <x v="2"/>
    <x v="19"/>
  </r>
  <r>
    <x v="383"/>
    <n v="13.09"/>
    <x v="0"/>
    <x v="0"/>
    <x v="0"/>
    <x v="20"/>
  </r>
  <r>
    <x v="384"/>
    <n v="1100"/>
    <x v="0"/>
    <x v="1"/>
    <x v="1"/>
    <x v="20"/>
  </r>
  <r>
    <x v="384"/>
    <n v="41.24"/>
    <x v="0"/>
    <x v="2"/>
    <x v="2"/>
    <x v="20"/>
  </r>
  <r>
    <x v="385"/>
    <n v="13.9"/>
    <x v="0"/>
    <x v="18"/>
    <x v="0"/>
    <x v="20"/>
  </r>
  <r>
    <x v="386"/>
    <n v="3.75"/>
    <x v="0"/>
    <x v="12"/>
    <x v="0"/>
    <x v="20"/>
  </r>
  <r>
    <x v="387"/>
    <n v="12.87"/>
    <x v="0"/>
    <x v="15"/>
    <x v="0"/>
    <x v="20"/>
  </r>
  <r>
    <x v="388"/>
    <n v="19.3"/>
    <x v="0"/>
    <x v="15"/>
    <x v="0"/>
    <x v="20"/>
  </r>
  <r>
    <x v="389"/>
    <n v="28.77"/>
    <x v="0"/>
    <x v="8"/>
    <x v="0"/>
    <x v="20"/>
  </r>
  <r>
    <x v="389"/>
    <n v="65.09"/>
    <x v="0"/>
    <x v="9"/>
    <x v="2"/>
    <x v="20"/>
  </r>
  <r>
    <x v="389"/>
    <n v="26.25"/>
    <x v="0"/>
    <x v="4"/>
    <x v="2"/>
    <x v="20"/>
  </r>
  <r>
    <x v="389"/>
    <n v="10.69"/>
    <x v="0"/>
    <x v="6"/>
    <x v="0"/>
    <x v="20"/>
  </r>
  <r>
    <x v="389"/>
    <n v="30"/>
    <x v="0"/>
    <x v="5"/>
    <x v="1"/>
    <x v="20"/>
  </r>
  <r>
    <x v="390"/>
    <n v="65"/>
    <x v="0"/>
    <x v="7"/>
    <x v="1"/>
    <x v="20"/>
  </r>
  <r>
    <x v="391"/>
    <n v="2.75"/>
    <x v="0"/>
    <x v="12"/>
    <x v="0"/>
    <x v="20"/>
  </r>
  <r>
    <x v="391"/>
    <n v="2250"/>
    <x v="1"/>
    <x v="10"/>
    <x v="3"/>
    <x v="20"/>
  </r>
  <r>
    <x v="392"/>
    <n v="46.44"/>
    <x v="0"/>
    <x v="9"/>
    <x v="0"/>
    <x v="20"/>
  </r>
  <r>
    <x v="393"/>
    <n v="47.66"/>
    <x v="0"/>
    <x v="0"/>
    <x v="0"/>
    <x v="20"/>
  </r>
  <r>
    <x v="394"/>
    <n v="35"/>
    <x v="0"/>
    <x v="5"/>
    <x v="1"/>
    <x v="20"/>
  </r>
  <r>
    <x v="395"/>
    <n v="60"/>
    <x v="0"/>
    <x v="5"/>
    <x v="1"/>
    <x v="20"/>
  </r>
  <r>
    <x v="396"/>
    <n v="75"/>
    <x v="0"/>
    <x v="16"/>
    <x v="1"/>
    <x v="20"/>
  </r>
  <r>
    <x v="397"/>
    <n v="40.81"/>
    <x v="0"/>
    <x v="15"/>
    <x v="0"/>
    <x v="20"/>
  </r>
  <r>
    <x v="397"/>
    <n v="2.75"/>
    <x v="0"/>
    <x v="12"/>
    <x v="0"/>
    <x v="20"/>
  </r>
  <r>
    <x v="398"/>
    <n v="131.1"/>
    <x v="0"/>
    <x v="2"/>
    <x v="0"/>
    <x v="20"/>
  </r>
  <r>
    <x v="399"/>
    <n v="27.71"/>
    <x v="0"/>
    <x v="9"/>
    <x v="0"/>
    <x v="20"/>
  </r>
  <r>
    <x v="399"/>
    <n v="24.63"/>
    <x v="0"/>
    <x v="0"/>
    <x v="0"/>
    <x v="20"/>
  </r>
  <r>
    <x v="400"/>
    <n v="2250"/>
    <x v="1"/>
    <x v="10"/>
    <x v="3"/>
    <x v="20"/>
  </r>
  <r>
    <x v="401"/>
    <n v="33.46"/>
    <x v="0"/>
    <x v="8"/>
    <x v="0"/>
    <x v="20"/>
  </r>
  <r>
    <x v="401"/>
    <n v="4.2699999999999996"/>
    <x v="0"/>
    <x v="8"/>
    <x v="0"/>
    <x v="20"/>
  </r>
  <r>
    <x v="402"/>
    <n v="1.75"/>
    <x v="0"/>
    <x v="12"/>
    <x v="0"/>
    <x v="20"/>
  </r>
  <r>
    <x v="402"/>
    <n v="75"/>
    <x v="0"/>
    <x v="13"/>
    <x v="1"/>
    <x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D69698-FC71-42B7-AA79-7F39A1FA5D9C}" name="PivotTable7" cacheId="8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>
  <location ref="D3:E5" firstHeaderRow="1" firstDataRow="1" firstDataCol="1" rowPageCount="1" colPageCount="1"/>
  <pivotFields count="12">
    <pivotField numFmtId="14" showAll="0">
      <items count="40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t="default"/>
      </items>
    </pivotField>
    <pivotField dataField="1" numFmtId="164" showAll="0"/>
    <pivotField axis="axisPage" showAll="0">
      <items count="3">
        <item x="1"/>
        <item x="0"/>
        <item t="default"/>
      </items>
    </pivotField>
    <pivotField showAll="0"/>
    <pivotField showAll="0"/>
    <pivotField axis="axisRow" numFmtId="165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5"/>
  </rowFields>
  <rowItems count="2">
    <i>
      <x/>
    </i>
    <i t="grand">
      <x/>
    </i>
  </rowItems>
  <colItems count="1">
    <i/>
  </colItems>
  <pageFields count="1">
    <pageField fld="2" item="1" hier="-1"/>
  </pageFields>
  <dataFields count="1">
    <dataField name="Sum of Valor" fld="1" baseField="0" baseItem="0" numFmtId="164"/>
  </dataFields>
  <pivotTableStyleInfo name="PivotStyleLight16" showRowHeaders="1" showColHeaders="1" showRowStripes="0" showColStripes="0" showLastColumn="1"/>
  <filters count="1">
    <filter fld="5" type="dateBetween" evalOrder="-1" id="437" name="Mês">
      <autoFilter ref="A1">
        <filterColumn colId="0">
          <customFilters and="1">
            <customFilter operator="greaterThanOrEqual" val="43101"/>
            <customFilter operator="lessThanOrEqual" val="4313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069780-3321-40AA-8F67-B79CFE8C2ECD}" name="PivotTable6" cacheId="8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compact="0" compactData="0" multipleFieldFilters="0" chartFormat="14">
  <location ref="A3:B9" firstHeaderRow="1" firstDataRow="1" firstDataCol="1" rowPageCount="1" colPageCount="1"/>
  <pivotFields count="12">
    <pivotField compact="0" numFmtId="14" outline="0" showAll="0">
      <items count="40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t="default"/>
      </items>
    </pivotField>
    <pivotField dataField="1" compact="0" numFmtId="164" outline="0" showAll="0"/>
    <pivotField axis="axisPage" compact="0" outline="0" showAll="0">
      <items count="3">
        <item x="1"/>
        <item x="0"/>
        <item t="default"/>
      </items>
    </pivotField>
    <pivotField axis="axisRow" compact="0" outline="0" showAll="0" measureFilter="1" sortType="descending" maxSubtotal="1">
      <items count="21">
        <item x="15"/>
        <item x="1"/>
        <item x="12"/>
        <item x="7"/>
        <item x="8"/>
        <item x="0"/>
        <item x="14"/>
        <item x="19"/>
        <item x="17"/>
        <item x="11"/>
        <item x="3"/>
        <item x="13"/>
        <item x="6"/>
        <item x="4"/>
        <item x="2"/>
        <item x="10"/>
        <item x="16"/>
        <item x="5"/>
        <item x="9"/>
        <item x="18"/>
        <item t="max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65" outline="0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>
      <items count="5">
        <item x="0"/>
        <item x="1"/>
        <item x="2"/>
        <item x="3"/>
        <item t="default"/>
      </items>
    </pivotField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>
      <items count="5">
        <item x="0"/>
        <item x="1"/>
        <item x="2"/>
        <item x="3"/>
        <item t="default"/>
      </items>
    </pivotField>
  </pivotFields>
  <rowFields count="1">
    <field x="3"/>
  </rowFields>
  <rowItems count="6">
    <i>
      <x v="1"/>
    </i>
    <i>
      <x v="14"/>
    </i>
    <i>
      <x v="17"/>
    </i>
    <i>
      <x v="5"/>
    </i>
    <i>
      <x v="3"/>
    </i>
    <i t="grand">
      <x/>
    </i>
  </rowItems>
  <colItems count="1">
    <i/>
  </colItems>
  <pageFields count="1">
    <pageField fld="2" item="1" hier="-1"/>
  </pageFields>
  <dataFields count="1">
    <dataField name="Sum of Valor" fld="1" baseField="0" baseItem="0" numFmtId="164"/>
  </dataFields>
  <chartFormats count="1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5" type="dateBetween" evalOrder="-1" id="518" name="Mês">
      <autoFilter ref="A1">
        <filterColumn colId="0">
          <customFilters and="1">
            <customFilter operator="greaterThanOrEqual" val="43101"/>
            <customFilter operator="lessThanOrEqual" val="4313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  <filter fld="3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FF28F8-D738-49D4-A332-CF9A73F29D8F}" name="PivotTable10" cacheId="8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8">
  <location ref="M3:N7" firstHeaderRow="1" firstDataRow="1" firstDataCol="1" rowPageCount="1" colPageCount="1"/>
  <pivotFields count="12">
    <pivotField numFmtId="14" showAll="0">
      <items count="40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t="default"/>
      </items>
    </pivotField>
    <pivotField dataField="1" numFmtId="164" showAll="0"/>
    <pivotField axis="axisPage" showAll="0">
      <items count="3">
        <item x="1"/>
        <item x="0"/>
        <item t="default"/>
      </items>
    </pivotField>
    <pivotField showAll="0"/>
    <pivotField axis="axisRow" showAll="0">
      <items count="5">
        <item x="0"/>
        <item x="2"/>
        <item x="3"/>
        <item x="1"/>
        <item t="default"/>
      </items>
    </pivotField>
    <pivotField numFmtId="165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4"/>
  </rowFields>
  <rowItems count="4">
    <i>
      <x/>
    </i>
    <i>
      <x v="1"/>
    </i>
    <i>
      <x v="3"/>
    </i>
    <i t="grand">
      <x/>
    </i>
  </rowItems>
  <colItems count="1">
    <i/>
  </colItems>
  <pageFields count="1">
    <pageField fld="2" item="1" hier="-1"/>
  </pageFields>
  <dataFields count="1">
    <dataField name="Sum of Valor" fld="1" baseField="0" baseItem="0" numFmtId="164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dateBetween" evalOrder="-1" id="203" name="Mês">
      <autoFilter ref="A1">
        <filterColumn colId="0">
          <customFilters and="1">
            <customFilter operator="greaterThanOrEqual" val="43101"/>
            <customFilter operator="lessThanOrEqual" val="4313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DD2D5C-695F-4A7F-A566-8093EC6450A5}" name="PivotTable9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J3:K25" firstHeaderRow="1" firstDataRow="1" firstDataCol="1" rowPageCount="1" colPageCount="1"/>
  <pivotFields count="12">
    <pivotField numFmtId="14" showAll="0">
      <items count="40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t="default"/>
      </items>
    </pivotField>
    <pivotField dataField="1" numFmtId="164" showAll="0"/>
    <pivotField axis="axisPage" showAll="0">
      <items count="3">
        <item x="1"/>
        <item x="0"/>
        <item t="default"/>
      </items>
    </pivotField>
    <pivotField showAll="0"/>
    <pivotField showAll="0"/>
    <pivotField axis="axisRow" numFmtId="165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4">
        <item sd="0" x="0"/>
        <item sd="0" x="1"/>
        <item sd="0" x="2"/>
        <item sd="0" x="3"/>
      </items>
    </pivotField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4">
        <item sd="0" x="0"/>
        <item sd="0" x="1"/>
        <item sd="0" x="2"/>
        <item sd="0" x="3"/>
      </items>
    </pivotField>
  </pivotFields>
  <rowFields count="1">
    <field x="5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pageFields count="1">
    <pageField fld="2" item="1" hier="-1"/>
  </pageFields>
  <dataFields count="1">
    <dataField name="Sum of Valor" fld="1" baseField="0" baseItem="0" numFmtId="164"/>
  </dataFields>
  <chartFormats count="2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4351DA-664C-4A40-B6D2-632B69070E37}" name="PivotTable8" cacheId="8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>
  <location ref="G3:H5" firstHeaderRow="1" firstDataRow="1" firstDataCol="1" rowPageCount="1" colPageCount="1"/>
  <pivotFields count="12">
    <pivotField numFmtId="14" showAll="0">
      <items count="40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t="default"/>
      </items>
    </pivotField>
    <pivotField dataField="1" numFmtId="164" showAll="0"/>
    <pivotField axis="axisPage" showAll="0">
      <items count="3">
        <item x="1"/>
        <item x="0"/>
        <item t="default"/>
      </items>
    </pivotField>
    <pivotField showAll="0"/>
    <pivotField showAll="0"/>
    <pivotField axis="axisRow" numFmtId="165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5"/>
  </rowFields>
  <rowItems count="2">
    <i>
      <x/>
    </i>
    <i t="grand">
      <x/>
    </i>
  </rowItems>
  <colItems count="1">
    <i/>
  </colItems>
  <pageFields count="1">
    <pageField fld="2" item="0" hier="-1"/>
  </pageFields>
  <dataFields count="1">
    <dataField name="Sum of Valor" fld="1" baseField="0" baseItem="0" numFmtId="164"/>
  </dataFields>
  <pivotTableStyleInfo name="PivotStyleLight16" showRowHeaders="1" showColHeaders="1" showRowStripes="0" showColStripes="0" showLastColumn="1"/>
  <filters count="1">
    <filter fld="5" type="dateBetween" evalOrder="-1" id="437" name="Mês">
      <autoFilter ref="A1">
        <filterColumn colId="0">
          <customFilters and="1">
            <customFilter operator="greaterThanOrEqual" val="43101"/>
            <customFilter operator="lessThanOrEqual" val="4313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1DF686-587F-4C6B-A763-8F60C37BBF1B}" name="Table1" displayName="Table1" ref="A1:F664" totalsRowShown="0" headerRowDxfId="12" dataDxfId="10" headerRowBorderDxfId="11" tableBorderDxfId="9">
  <autoFilter ref="A1:F664" xr:uid="{911DF686-587F-4C6B-A763-8F60C37BBF1B}"/>
  <tableColumns count="6">
    <tableColumn id="1" xr3:uid="{8E165C19-6F0E-48ED-A448-43A71D6F38B1}" name="Date" dataDxfId="8"/>
    <tableColumn id="2" xr3:uid="{B654400A-0A94-4821-84DD-F3CB55359562}" name="Valor" dataDxfId="7"/>
    <tableColumn id="3" xr3:uid="{E32AC753-7FA9-4AC9-A551-5361C82575D4}" name="Tipo de Transação" dataDxfId="6"/>
    <tableColumn id="4" xr3:uid="{1D963657-705A-4863-A183-1D89CC24236A}" name="Categoria" dataDxfId="5"/>
    <tableColumn id="5" xr3:uid="{B06D9829-463F-4B9E-A35D-0F067CF5F956}" name="Conta" dataDxfId="4"/>
    <tableColumn id="6" xr3:uid="{22ECBA03-020A-427E-BD4E-799EE1D5716D}" name="Mês" dataDxfId="3">
      <calculatedColumnFormula>DATE(YEAR(Table1[[#This Row],[Date]]), MONTH(Table1[[#This Row],[Date]]), 1)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Mês" xr10:uid="{E64A48A0-526D-4F25-A1DD-F3FB03880A90}" sourceName="Mês">
  <pivotTables>
    <pivotTable tabId="2" name="PivotTable6"/>
    <pivotTable tabId="2" name="PivotTable7"/>
    <pivotTable tabId="2" name="PivotTable8"/>
    <pivotTable tabId="2" name="PivotTable10"/>
  </pivotTables>
  <state minimalRefreshVersion="6" lastRefreshVersion="6" pivotCacheId="25413243" filterType="dateBetween">
    <selection startDate="2018-01-01T00:00:00" endDate="2018-01-31T00:00:00"/>
    <bounds startDate="2018-01-01T00:00:00" endDate="2020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Mês 1" xr10:uid="{4C1388ED-B517-47CF-BD64-9E3B060B2F9B}" cache="NativeTimeline_Mês" caption="Mês" showTimeLevel="0" level="2" selectionLevel="2" scrollPosition="2018-01-01T00:00:00" style="TimeSlicerStyleLight1 2"/>
</timelines>
</file>

<file path=xl/worksheets/_rels/sheet1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D7E43-EDD0-4956-8E64-ACDFA0A40046}">
  <sheetPr>
    <pageSetUpPr autoPageBreaks="0"/>
  </sheetPr>
  <dimension ref="A2:P74"/>
  <sheetViews>
    <sheetView showGridLines="0" tabSelected="1" zoomScaleNormal="100" workbookViewId="0">
      <selection activeCell="T8" sqref="T8"/>
    </sheetView>
  </sheetViews>
  <sheetFormatPr defaultRowHeight="15" x14ac:dyDescent="0.25"/>
  <cols>
    <col min="1" max="1" width="2.140625" style="14" customWidth="1"/>
    <col min="2" max="2" width="49.28515625" style="14" customWidth="1"/>
    <col min="3" max="3" width="22.42578125" style="14" customWidth="1"/>
    <col min="4" max="15" width="9.140625" style="14"/>
    <col min="16" max="16" width="14.5703125" style="14" customWidth="1"/>
    <col min="17" max="16384" width="9.140625" style="14"/>
  </cols>
  <sheetData>
    <row r="2" spans="1:16" ht="54" thickBot="1" x14ac:dyDescent="0.8">
      <c r="A2" s="16"/>
      <c r="B2" s="17" t="s">
        <v>33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</row>
    <row r="3" spans="1:16" ht="28.5" customHeight="1" thickTop="1" x14ac:dyDescent="0.25"/>
    <row r="4" spans="1:16" ht="36" customHeight="1" x14ac:dyDescent="0.25">
      <c r="A4" s="22"/>
      <c r="B4" s="25" t="s">
        <v>40</v>
      </c>
      <c r="C4" s="25"/>
    </row>
    <row r="5" spans="1:16" ht="31.5" customHeight="1" x14ac:dyDescent="0.3">
      <c r="B5" s="20" t="s">
        <v>34</v>
      </c>
      <c r="C5" s="23">
        <f>GETPIVOTDATA("Valor",Tabelas!$G$3)</f>
        <v>4000</v>
      </c>
    </row>
    <row r="6" spans="1:16" ht="35.25" customHeight="1" x14ac:dyDescent="0.3">
      <c r="B6" s="21" t="s">
        <v>35</v>
      </c>
      <c r="C6" s="23">
        <f>GETPIVOTDATA("Valor",Tabelas!$D$3)</f>
        <v>2066.65</v>
      </c>
    </row>
    <row r="7" spans="1:16" ht="33.75" customHeight="1" x14ac:dyDescent="0.25"/>
    <row r="8" spans="1:16" ht="43.5" customHeight="1" x14ac:dyDescent="0.25">
      <c r="B8" s="24" t="s">
        <v>36</v>
      </c>
      <c r="C8" s="19">
        <f>C5-C6</f>
        <v>1933.35</v>
      </c>
    </row>
    <row r="9" spans="1:16" ht="33" customHeight="1" x14ac:dyDescent="0.25">
      <c r="C9" s="15"/>
    </row>
    <row r="10" spans="1:16" ht="40.5" customHeight="1" x14ac:dyDescent="0.25">
      <c r="B10" s="24" t="s">
        <v>37</v>
      </c>
      <c r="C10" s="18">
        <f>C6/C5</f>
        <v>0.51666250000000002</v>
      </c>
    </row>
    <row r="31" spans="2:3" x14ac:dyDescent="0.25">
      <c r="B31"/>
      <c r="C31"/>
    </row>
    <row r="33" spans="2:4" x14ac:dyDescent="0.25">
      <c r="B33"/>
      <c r="C33"/>
      <c r="D33"/>
    </row>
    <row r="34" spans="2:4" x14ac:dyDescent="0.25">
      <c r="B34"/>
      <c r="C34"/>
      <c r="D34"/>
    </row>
    <row r="35" spans="2:4" x14ac:dyDescent="0.25">
      <c r="B35"/>
      <c r="C35"/>
      <c r="D35"/>
    </row>
    <row r="36" spans="2:4" x14ac:dyDescent="0.25">
      <c r="B36"/>
      <c r="C36"/>
      <c r="D36"/>
    </row>
    <row r="37" spans="2:4" x14ac:dyDescent="0.25">
      <c r="B37"/>
      <c r="C37"/>
      <c r="D37"/>
    </row>
    <row r="38" spans="2:4" x14ac:dyDescent="0.25">
      <c r="B38"/>
      <c r="C38"/>
      <c r="D38"/>
    </row>
    <row r="39" spans="2:4" x14ac:dyDescent="0.25">
      <c r="B39"/>
      <c r="C39"/>
      <c r="D39"/>
    </row>
    <row r="40" spans="2:4" x14ac:dyDescent="0.25">
      <c r="B40"/>
      <c r="C40"/>
      <c r="D40"/>
    </row>
    <row r="41" spans="2:4" x14ac:dyDescent="0.25">
      <c r="B41"/>
      <c r="C41"/>
      <c r="D41"/>
    </row>
    <row r="42" spans="2:4" x14ac:dyDescent="0.25">
      <c r="B42"/>
      <c r="C42"/>
      <c r="D42"/>
    </row>
    <row r="43" spans="2:4" x14ac:dyDescent="0.25">
      <c r="B43"/>
      <c r="C43"/>
      <c r="D43"/>
    </row>
    <row r="44" spans="2:4" x14ac:dyDescent="0.25">
      <c r="B44"/>
      <c r="C44"/>
      <c r="D44"/>
    </row>
    <row r="45" spans="2:4" x14ac:dyDescent="0.25">
      <c r="B45"/>
      <c r="C45"/>
      <c r="D45"/>
    </row>
    <row r="46" spans="2:4" x14ac:dyDescent="0.25">
      <c r="B46"/>
      <c r="C46"/>
      <c r="D46"/>
    </row>
    <row r="47" spans="2:4" x14ac:dyDescent="0.25">
      <c r="B47"/>
      <c r="C47"/>
      <c r="D47"/>
    </row>
    <row r="48" spans="2:4" x14ac:dyDescent="0.25">
      <c r="B48"/>
      <c r="C48"/>
      <c r="D48"/>
    </row>
    <row r="49" spans="2:4" x14ac:dyDescent="0.25">
      <c r="B49"/>
      <c r="C49"/>
      <c r="D49"/>
    </row>
    <row r="50" spans="2:4" x14ac:dyDescent="0.25">
      <c r="B50"/>
      <c r="C50"/>
      <c r="D50"/>
    </row>
    <row r="51" spans="2:4" x14ac:dyDescent="0.25">
      <c r="B51"/>
      <c r="C51"/>
    </row>
    <row r="52" spans="2:4" x14ac:dyDescent="0.25">
      <c r="B52"/>
      <c r="C52"/>
    </row>
    <row r="53" spans="2:4" x14ac:dyDescent="0.25">
      <c r="B53"/>
      <c r="C53"/>
    </row>
    <row r="54" spans="2:4" x14ac:dyDescent="0.25">
      <c r="B54"/>
      <c r="C54"/>
    </row>
    <row r="55" spans="2:4" x14ac:dyDescent="0.25">
      <c r="B55"/>
      <c r="C55"/>
    </row>
    <row r="56" spans="2:4" x14ac:dyDescent="0.25">
      <c r="B56"/>
      <c r="C56"/>
    </row>
    <row r="57" spans="2:4" x14ac:dyDescent="0.25">
      <c r="B57"/>
      <c r="C57"/>
    </row>
    <row r="58" spans="2:4" x14ac:dyDescent="0.25">
      <c r="B58"/>
      <c r="C58"/>
    </row>
    <row r="59" spans="2:4" x14ac:dyDescent="0.25">
      <c r="B59"/>
      <c r="C59"/>
    </row>
    <row r="60" spans="2:4" x14ac:dyDescent="0.25">
      <c r="B60"/>
      <c r="C60"/>
    </row>
    <row r="61" spans="2:4" x14ac:dyDescent="0.25">
      <c r="B61"/>
      <c r="C61"/>
    </row>
    <row r="62" spans="2:4" x14ac:dyDescent="0.25">
      <c r="B62"/>
      <c r="C62"/>
    </row>
    <row r="63" spans="2:4" x14ac:dyDescent="0.25">
      <c r="B63"/>
      <c r="C63"/>
    </row>
    <row r="64" spans="2:4" x14ac:dyDescent="0.25">
      <c r="B64"/>
      <c r="C64"/>
    </row>
    <row r="65" spans="2:3" x14ac:dyDescent="0.25">
      <c r="B65"/>
      <c r="C65"/>
    </row>
    <row r="66" spans="2:3" x14ac:dyDescent="0.25">
      <c r="B66"/>
      <c r="C66"/>
    </row>
    <row r="67" spans="2:3" x14ac:dyDescent="0.25">
      <c r="B67"/>
      <c r="C67"/>
    </row>
    <row r="68" spans="2:3" x14ac:dyDescent="0.25">
      <c r="B68"/>
      <c r="C68"/>
    </row>
    <row r="69" spans="2:3" x14ac:dyDescent="0.25">
      <c r="B69"/>
      <c r="C69"/>
    </row>
    <row r="70" spans="2:3" x14ac:dyDescent="0.25">
      <c r="B70"/>
      <c r="C70"/>
    </row>
    <row r="71" spans="2:3" x14ac:dyDescent="0.25">
      <c r="B71"/>
      <c r="C71"/>
    </row>
    <row r="72" spans="2:3" x14ac:dyDescent="0.25">
      <c r="B72"/>
      <c r="C72"/>
    </row>
    <row r="73" spans="2:3" x14ac:dyDescent="0.25">
      <c r="B73"/>
      <c r="C73"/>
    </row>
    <row r="74" spans="2:3" x14ac:dyDescent="0.25">
      <c r="B74"/>
      <c r="C74"/>
    </row>
  </sheetData>
  <mergeCells count="1">
    <mergeCell ref="B4:C4"/>
  </mergeCells>
  <conditionalFormatting sqref="C8">
    <cfRule type="cellIs" dxfId="2" priority="1" operator="lessThan">
      <formula>0</formula>
    </cfRule>
  </conditionalFormatting>
  <pageMargins left="0.7" right="0.7" top="0.75" bottom="0.75" header="0.3" footer="0.3"/>
  <pageSetup paperSize="9" orientation="portrait" r:id="rId1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64"/>
  <sheetViews>
    <sheetView workbookViewId="0"/>
  </sheetViews>
  <sheetFormatPr defaultRowHeight="15" x14ac:dyDescent="0.25"/>
  <cols>
    <col min="1" max="1" width="32.85546875" style="2" customWidth="1"/>
    <col min="2" max="2" width="17.140625" style="7" customWidth="1"/>
    <col min="3" max="3" width="26.85546875" style="1" customWidth="1"/>
    <col min="4" max="4" width="39.140625" style="1" customWidth="1"/>
    <col min="5" max="5" width="27.42578125" style="1" customWidth="1"/>
    <col min="6" max="6" width="21.42578125" style="9" customWidth="1"/>
    <col min="7" max="16384" width="9.140625" style="1"/>
  </cols>
  <sheetData>
    <row r="1" spans="1:14" s="5" customFormat="1" x14ac:dyDescent="0.25">
      <c r="A1" s="3" t="s">
        <v>0</v>
      </c>
      <c r="B1" s="6" t="s">
        <v>3</v>
      </c>
      <c r="C1" s="4" t="s">
        <v>4</v>
      </c>
      <c r="D1" s="4" t="s">
        <v>23</v>
      </c>
      <c r="E1" s="4" t="s">
        <v>24</v>
      </c>
      <c r="F1" s="8" t="s">
        <v>28</v>
      </c>
      <c r="G1" s="1"/>
      <c r="H1" s="1"/>
      <c r="I1" s="1"/>
      <c r="J1" s="1"/>
      <c r="K1" s="1"/>
      <c r="L1" s="1"/>
      <c r="M1" s="1"/>
      <c r="N1" s="1"/>
    </row>
    <row r="2" spans="1:14" x14ac:dyDescent="0.25">
      <c r="A2" s="2">
        <v>43101</v>
      </c>
      <c r="B2" s="7">
        <v>11.11</v>
      </c>
      <c r="C2" s="1" t="s">
        <v>6</v>
      </c>
      <c r="D2" s="1" t="s">
        <v>39</v>
      </c>
      <c r="E2" s="1" t="s">
        <v>26</v>
      </c>
      <c r="F2" s="9">
        <f>DATE(YEAR(Table1[[#This Row],[Date]]), MONTH(Table1[[#This Row],[Date]]), 1)</f>
        <v>43101</v>
      </c>
    </row>
    <row r="3" spans="1:14" x14ac:dyDescent="0.25">
      <c r="A3" s="2">
        <v>43102</v>
      </c>
      <c r="B3" s="7">
        <v>1247.44</v>
      </c>
      <c r="C3" s="1" t="s">
        <v>6</v>
      </c>
      <c r="D3" s="1" t="s">
        <v>18</v>
      </c>
      <c r="E3" s="1" t="s">
        <v>32</v>
      </c>
      <c r="F3" s="9">
        <f>DATE(YEAR(Table1[[#This Row],[Date]]), MONTH(Table1[[#This Row],[Date]]), 1)</f>
        <v>43101</v>
      </c>
    </row>
    <row r="4" spans="1:14" x14ac:dyDescent="0.25">
      <c r="A4" s="2">
        <v>43102</v>
      </c>
      <c r="B4" s="7">
        <v>24.22</v>
      </c>
      <c r="C4" s="1" t="s">
        <v>6</v>
      </c>
      <c r="D4" s="1" t="s">
        <v>12</v>
      </c>
      <c r="E4" s="1" t="s">
        <v>27</v>
      </c>
      <c r="F4" s="9">
        <f>DATE(YEAR(Table1[[#This Row],[Date]]), MONTH(Table1[[#This Row],[Date]]), 1)</f>
        <v>43101</v>
      </c>
    </row>
    <row r="5" spans="1:14" x14ac:dyDescent="0.25">
      <c r="A5" s="2">
        <v>43104</v>
      </c>
      <c r="B5" s="7">
        <v>11.76</v>
      </c>
      <c r="C5" s="1" t="s">
        <v>6</v>
      </c>
      <c r="D5" s="1" t="s">
        <v>19</v>
      </c>
      <c r="E5" s="1" t="s">
        <v>26</v>
      </c>
      <c r="F5" s="9">
        <f>DATE(YEAR(Table1[[#This Row],[Date]]), MONTH(Table1[[#This Row],[Date]]), 1)</f>
        <v>43101</v>
      </c>
    </row>
    <row r="6" spans="1:14" x14ac:dyDescent="0.25">
      <c r="A6" s="2">
        <v>43105</v>
      </c>
      <c r="B6" s="7">
        <v>25.85</v>
      </c>
      <c r="C6" s="1" t="s">
        <v>6</v>
      </c>
      <c r="D6" s="1" t="s">
        <v>12</v>
      </c>
      <c r="E6" s="1" t="s">
        <v>27</v>
      </c>
      <c r="F6" s="9">
        <f>DATE(YEAR(Table1[[#This Row],[Date]]), MONTH(Table1[[#This Row],[Date]]), 1)</f>
        <v>43101</v>
      </c>
    </row>
    <row r="7" spans="1:14" x14ac:dyDescent="0.25">
      <c r="A7" s="2">
        <v>43106</v>
      </c>
      <c r="B7" s="7">
        <v>18.45</v>
      </c>
      <c r="C7" s="1" t="s">
        <v>6</v>
      </c>
      <c r="D7" s="1" t="s">
        <v>16</v>
      </c>
      <c r="E7" s="1" t="s">
        <v>27</v>
      </c>
      <c r="F7" s="9">
        <f>DATE(YEAR(Table1[[#This Row],[Date]]), MONTH(Table1[[#This Row],[Date]]), 1)</f>
        <v>43101</v>
      </c>
    </row>
    <row r="8" spans="1:14" x14ac:dyDescent="0.25">
      <c r="A8" s="2">
        <v>43108</v>
      </c>
      <c r="B8" s="7">
        <v>45</v>
      </c>
      <c r="C8" s="1" t="s">
        <v>6</v>
      </c>
      <c r="D8" s="1" t="s">
        <v>22</v>
      </c>
      <c r="E8" s="1" t="s">
        <v>32</v>
      </c>
      <c r="F8" s="9">
        <f>DATE(YEAR(Table1[[#This Row],[Date]]), MONTH(Table1[[#This Row],[Date]]), 1)</f>
        <v>43101</v>
      </c>
    </row>
    <row r="9" spans="1:14" x14ac:dyDescent="0.25">
      <c r="A9" s="2">
        <v>43108</v>
      </c>
      <c r="B9" s="7">
        <v>15.38</v>
      </c>
      <c r="C9" s="1" t="s">
        <v>6</v>
      </c>
      <c r="D9" s="1" t="s">
        <v>16</v>
      </c>
      <c r="E9" s="1" t="s">
        <v>27</v>
      </c>
      <c r="F9" s="9">
        <f>DATE(YEAR(Table1[[#This Row],[Date]]), MONTH(Table1[[#This Row],[Date]]), 1)</f>
        <v>43101</v>
      </c>
    </row>
    <row r="10" spans="1:14" x14ac:dyDescent="0.25">
      <c r="A10" s="2">
        <v>43109</v>
      </c>
      <c r="B10" s="7">
        <v>10.69</v>
      </c>
      <c r="C10" s="1" t="s">
        <v>6</v>
      </c>
      <c r="D10" s="1" t="s">
        <v>20</v>
      </c>
      <c r="E10" s="1" t="s">
        <v>26</v>
      </c>
      <c r="F10" s="9">
        <f>DATE(YEAR(Table1[[#This Row],[Date]]), MONTH(Table1[[#This Row],[Date]]), 1)</f>
        <v>43101</v>
      </c>
    </row>
    <row r="11" spans="1:14" x14ac:dyDescent="0.25">
      <c r="A11" s="2">
        <v>43110</v>
      </c>
      <c r="B11" s="7">
        <v>89.46</v>
      </c>
      <c r="C11" s="1" t="s">
        <v>6</v>
      </c>
      <c r="D11" s="1" t="s">
        <v>17</v>
      </c>
      <c r="E11" s="1" t="s">
        <v>32</v>
      </c>
      <c r="F11" s="9">
        <f>DATE(YEAR(Table1[[#This Row],[Date]]), MONTH(Table1[[#This Row],[Date]]), 1)</f>
        <v>43101</v>
      </c>
    </row>
    <row r="12" spans="1:14" x14ac:dyDescent="0.25">
      <c r="A12" s="2">
        <v>43111</v>
      </c>
      <c r="B12" s="7">
        <v>34.869999999999997</v>
      </c>
      <c r="C12" s="1" t="s">
        <v>6</v>
      </c>
      <c r="D12" s="1" t="s">
        <v>13</v>
      </c>
      <c r="E12" s="1" t="s">
        <v>26</v>
      </c>
      <c r="F12" s="9">
        <f>DATE(YEAR(Table1[[#This Row],[Date]]), MONTH(Table1[[#This Row],[Date]]), 1)</f>
        <v>43101</v>
      </c>
    </row>
    <row r="13" spans="1:14" x14ac:dyDescent="0.25">
      <c r="A13" s="2">
        <v>43111</v>
      </c>
      <c r="B13" s="7">
        <v>43.54</v>
      </c>
      <c r="C13" s="1" t="s">
        <v>6</v>
      </c>
      <c r="D13" s="1" t="s">
        <v>14</v>
      </c>
      <c r="E13" s="1" t="s">
        <v>26</v>
      </c>
      <c r="F13" s="9">
        <f>DATE(YEAR(Table1[[#This Row],[Date]]), MONTH(Table1[[#This Row],[Date]]), 1)</f>
        <v>43101</v>
      </c>
    </row>
    <row r="14" spans="1:14" x14ac:dyDescent="0.25">
      <c r="A14" s="2">
        <v>43112</v>
      </c>
      <c r="B14" s="7">
        <v>2000</v>
      </c>
      <c r="C14" s="1" t="s">
        <v>5</v>
      </c>
      <c r="D14" s="1" t="s">
        <v>21</v>
      </c>
      <c r="E14" s="1" t="s">
        <v>25</v>
      </c>
      <c r="F14" s="9">
        <f>DATE(YEAR(Table1[[#This Row],[Date]]), MONTH(Table1[[#This Row],[Date]]), 1)</f>
        <v>43101</v>
      </c>
    </row>
    <row r="15" spans="1:14" x14ac:dyDescent="0.25">
      <c r="A15" s="2">
        <v>43113</v>
      </c>
      <c r="B15" s="7">
        <v>32.909999999999997</v>
      </c>
      <c r="C15" s="1" t="s">
        <v>6</v>
      </c>
      <c r="D15" s="1" t="s">
        <v>1</v>
      </c>
      <c r="E15" s="1" t="s">
        <v>26</v>
      </c>
      <c r="F15" s="9">
        <f>DATE(YEAR(Table1[[#This Row],[Date]]), MONTH(Table1[[#This Row],[Date]]), 1)</f>
        <v>43101</v>
      </c>
    </row>
    <row r="16" spans="1:14" x14ac:dyDescent="0.25">
      <c r="A16" s="2">
        <v>43113</v>
      </c>
      <c r="B16" s="7">
        <v>39.049999999999997</v>
      </c>
      <c r="C16" s="1" t="s">
        <v>6</v>
      </c>
      <c r="D16" s="1" t="s">
        <v>39</v>
      </c>
      <c r="E16" s="1" t="s">
        <v>26</v>
      </c>
      <c r="F16" s="9">
        <f>DATE(YEAR(Table1[[#This Row],[Date]]), MONTH(Table1[[#This Row],[Date]]), 1)</f>
        <v>43101</v>
      </c>
    </row>
    <row r="17" spans="1:6" x14ac:dyDescent="0.25">
      <c r="A17" s="2">
        <v>43115</v>
      </c>
      <c r="B17" s="7">
        <v>44.19</v>
      </c>
      <c r="C17" s="1" t="s">
        <v>6</v>
      </c>
      <c r="D17" s="1" t="s">
        <v>14</v>
      </c>
      <c r="E17" s="1" t="s">
        <v>27</v>
      </c>
      <c r="F17" s="9">
        <f>DATE(YEAR(Table1[[#This Row],[Date]]), MONTH(Table1[[#This Row],[Date]]), 1)</f>
        <v>43101</v>
      </c>
    </row>
    <row r="18" spans="1:6" x14ac:dyDescent="0.25">
      <c r="A18" s="2">
        <v>43115</v>
      </c>
      <c r="B18" s="7">
        <v>64.11</v>
      </c>
      <c r="C18" s="1" t="s">
        <v>6</v>
      </c>
      <c r="D18" s="1" t="s">
        <v>12</v>
      </c>
      <c r="E18" s="1" t="s">
        <v>27</v>
      </c>
      <c r="F18" s="9">
        <f>DATE(YEAR(Table1[[#This Row],[Date]]), MONTH(Table1[[#This Row],[Date]]), 1)</f>
        <v>43101</v>
      </c>
    </row>
    <row r="19" spans="1:6" x14ac:dyDescent="0.25">
      <c r="A19" s="2">
        <v>43116</v>
      </c>
      <c r="B19" s="7">
        <v>35</v>
      </c>
      <c r="C19" s="1" t="s">
        <v>6</v>
      </c>
      <c r="D19" s="1" t="s">
        <v>22</v>
      </c>
      <c r="E19" s="1" t="s">
        <v>32</v>
      </c>
      <c r="F19" s="9">
        <f>DATE(YEAR(Table1[[#This Row],[Date]]), MONTH(Table1[[#This Row],[Date]]), 1)</f>
        <v>43101</v>
      </c>
    </row>
    <row r="20" spans="1:6" x14ac:dyDescent="0.25">
      <c r="A20" s="2">
        <v>43116</v>
      </c>
      <c r="B20" s="7">
        <v>60</v>
      </c>
      <c r="C20" s="1" t="s">
        <v>6</v>
      </c>
      <c r="D20" s="1" t="s">
        <v>22</v>
      </c>
      <c r="E20" s="1" t="s">
        <v>32</v>
      </c>
      <c r="F20" s="9">
        <f>DATE(YEAR(Table1[[#This Row],[Date]]), MONTH(Table1[[#This Row],[Date]]), 1)</f>
        <v>43101</v>
      </c>
    </row>
    <row r="21" spans="1:6" x14ac:dyDescent="0.25">
      <c r="A21" s="2">
        <v>43119</v>
      </c>
      <c r="B21" s="7">
        <v>2000</v>
      </c>
      <c r="C21" s="1" t="s">
        <v>5</v>
      </c>
      <c r="D21" s="1" t="s">
        <v>21</v>
      </c>
      <c r="E21" s="1" t="s">
        <v>25</v>
      </c>
      <c r="F21" s="9">
        <f>DATE(YEAR(Table1[[#This Row],[Date]]), MONTH(Table1[[#This Row],[Date]]), 1)</f>
        <v>43101</v>
      </c>
    </row>
    <row r="22" spans="1:6" x14ac:dyDescent="0.25">
      <c r="A22" s="2">
        <v>43120</v>
      </c>
      <c r="B22" s="7">
        <v>50.21</v>
      </c>
      <c r="C22" s="1" t="s">
        <v>6</v>
      </c>
      <c r="D22" s="1" t="s">
        <v>39</v>
      </c>
      <c r="E22" s="1" t="s">
        <v>26</v>
      </c>
      <c r="F22" s="9">
        <f>DATE(YEAR(Table1[[#This Row],[Date]]), MONTH(Table1[[#This Row],[Date]]), 1)</f>
        <v>43101</v>
      </c>
    </row>
    <row r="23" spans="1:6" x14ac:dyDescent="0.25">
      <c r="A23" s="2">
        <v>43122</v>
      </c>
      <c r="B23" s="7">
        <v>17.38</v>
      </c>
      <c r="C23" s="1" t="s">
        <v>6</v>
      </c>
      <c r="D23" s="1" t="s">
        <v>16</v>
      </c>
      <c r="E23" s="1" t="s">
        <v>27</v>
      </c>
      <c r="F23" s="9">
        <f>DATE(YEAR(Table1[[#This Row],[Date]]), MONTH(Table1[[#This Row],[Date]]), 1)</f>
        <v>43101</v>
      </c>
    </row>
    <row r="24" spans="1:6" x14ac:dyDescent="0.25">
      <c r="A24" s="2">
        <v>43124</v>
      </c>
      <c r="B24" s="7">
        <v>3</v>
      </c>
      <c r="C24" s="1" t="s">
        <v>6</v>
      </c>
      <c r="D24" s="1" t="s">
        <v>9</v>
      </c>
      <c r="E24" s="1" t="s">
        <v>26</v>
      </c>
      <c r="F24" s="9">
        <f>DATE(YEAR(Table1[[#This Row],[Date]]), MONTH(Table1[[#This Row],[Date]]), 1)</f>
        <v>43101</v>
      </c>
    </row>
    <row r="25" spans="1:6" x14ac:dyDescent="0.25">
      <c r="A25" s="2">
        <v>43125</v>
      </c>
      <c r="B25" s="7">
        <v>69.989999999999995</v>
      </c>
      <c r="C25" s="1" t="s">
        <v>6</v>
      </c>
      <c r="D25" s="1" t="s">
        <v>2</v>
      </c>
      <c r="E25" s="1" t="s">
        <v>32</v>
      </c>
      <c r="F25" s="9">
        <f>DATE(YEAR(Table1[[#This Row],[Date]]), MONTH(Table1[[#This Row],[Date]]), 1)</f>
        <v>43101</v>
      </c>
    </row>
    <row r="26" spans="1:6" x14ac:dyDescent="0.25">
      <c r="A26" s="2">
        <v>43129</v>
      </c>
      <c r="B26" s="7">
        <v>30.42</v>
      </c>
      <c r="C26" s="1" t="s">
        <v>6</v>
      </c>
      <c r="D26" s="1" t="s">
        <v>13</v>
      </c>
      <c r="E26" s="1" t="s">
        <v>27</v>
      </c>
      <c r="F26" s="9">
        <f>DATE(YEAR(Table1[[#This Row],[Date]]), MONTH(Table1[[#This Row],[Date]]), 1)</f>
        <v>43101</v>
      </c>
    </row>
    <row r="27" spans="1:6" x14ac:dyDescent="0.25">
      <c r="A27" s="2">
        <v>43129</v>
      </c>
      <c r="B27" s="7">
        <v>25</v>
      </c>
      <c r="C27" s="1" t="s">
        <v>6</v>
      </c>
      <c r="D27" s="1" t="s">
        <v>12</v>
      </c>
      <c r="E27" s="1" t="s">
        <v>27</v>
      </c>
      <c r="F27" s="9">
        <f>DATE(YEAR(Table1[[#This Row],[Date]]), MONTH(Table1[[#This Row],[Date]]), 1)</f>
        <v>43101</v>
      </c>
    </row>
    <row r="28" spans="1:6" x14ac:dyDescent="0.25">
      <c r="A28" s="2">
        <v>43129</v>
      </c>
      <c r="B28" s="7">
        <v>17.62</v>
      </c>
      <c r="C28" s="1" t="s">
        <v>6</v>
      </c>
      <c r="D28" s="1" t="s">
        <v>12</v>
      </c>
      <c r="E28" s="1" t="s">
        <v>26</v>
      </c>
      <c r="F28" s="9">
        <f>DATE(YEAR(Table1[[#This Row],[Date]]), MONTH(Table1[[#This Row],[Date]]), 1)</f>
        <v>43101</v>
      </c>
    </row>
    <row r="29" spans="1:6" x14ac:dyDescent="0.25">
      <c r="A29" s="2">
        <v>43132</v>
      </c>
      <c r="B29" s="7">
        <v>27.79</v>
      </c>
      <c r="C29" s="1" t="s">
        <v>6</v>
      </c>
      <c r="D29" s="1" t="s">
        <v>14</v>
      </c>
      <c r="E29" s="1" t="s">
        <v>26</v>
      </c>
      <c r="F29" s="9">
        <f>DATE(YEAR(Table1[[#This Row],[Date]]), MONTH(Table1[[#This Row],[Date]]), 1)</f>
        <v>43132</v>
      </c>
    </row>
    <row r="30" spans="1:6" x14ac:dyDescent="0.25">
      <c r="A30" s="2">
        <v>43132</v>
      </c>
      <c r="B30" s="7">
        <v>11.11</v>
      </c>
      <c r="C30" s="1" t="s">
        <v>6</v>
      </c>
      <c r="D30" s="1" t="s">
        <v>39</v>
      </c>
      <c r="E30" s="1" t="s">
        <v>26</v>
      </c>
      <c r="F30" s="9">
        <f>DATE(YEAR(Table1[[#This Row],[Date]]), MONTH(Table1[[#This Row],[Date]]), 1)</f>
        <v>43132</v>
      </c>
    </row>
    <row r="31" spans="1:6" x14ac:dyDescent="0.25">
      <c r="A31" s="2">
        <v>43133</v>
      </c>
      <c r="B31" s="7">
        <v>1247.44</v>
      </c>
      <c r="C31" s="1" t="s">
        <v>6</v>
      </c>
      <c r="D31" s="1" t="s">
        <v>18</v>
      </c>
      <c r="E31" s="1" t="s">
        <v>32</v>
      </c>
      <c r="F31" s="9">
        <f>DATE(YEAR(Table1[[#This Row],[Date]]), MONTH(Table1[[#This Row],[Date]]), 1)</f>
        <v>43132</v>
      </c>
    </row>
    <row r="32" spans="1:6" x14ac:dyDescent="0.25">
      <c r="A32" s="2">
        <v>43133</v>
      </c>
      <c r="B32" s="7">
        <v>2000</v>
      </c>
      <c r="C32" s="1" t="s">
        <v>5</v>
      </c>
      <c r="D32" s="1" t="s">
        <v>21</v>
      </c>
      <c r="E32" s="1" t="s">
        <v>25</v>
      </c>
      <c r="F32" s="9">
        <f>DATE(YEAR(Table1[[#This Row],[Date]]), MONTH(Table1[[#This Row],[Date]]), 1)</f>
        <v>43132</v>
      </c>
    </row>
    <row r="33" spans="1:6" x14ac:dyDescent="0.25">
      <c r="A33" s="2">
        <v>43134</v>
      </c>
      <c r="B33" s="7">
        <v>57.02</v>
      </c>
      <c r="C33" s="1" t="s">
        <v>6</v>
      </c>
      <c r="D33" s="1" t="s">
        <v>12</v>
      </c>
      <c r="E33" s="1" t="s">
        <v>26</v>
      </c>
      <c r="F33" s="9">
        <f>DATE(YEAR(Table1[[#This Row],[Date]]), MONTH(Table1[[#This Row],[Date]]), 1)</f>
        <v>43132</v>
      </c>
    </row>
    <row r="34" spans="1:6" x14ac:dyDescent="0.25">
      <c r="A34" s="2">
        <v>43135</v>
      </c>
      <c r="B34" s="7">
        <v>11.76</v>
      </c>
      <c r="C34" s="1" t="s">
        <v>6</v>
      </c>
      <c r="D34" s="1" t="s">
        <v>19</v>
      </c>
      <c r="E34" s="1" t="s">
        <v>26</v>
      </c>
      <c r="F34" s="9">
        <f>DATE(YEAR(Table1[[#This Row],[Date]]), MONTH(Table1[[#This Row],[Date]]), 1)</f>
        <v>43132</v>
      </c>
    </row>
    <row r="35" spans="1:6" x14ac:dyDescent="0.25">
      <c r="A35" s="2">
        <v>43138</v>
      </c>
      <c r="B35" s="7">
        <v>65</v>
      </c>
      <c r="C35" s="1" t="s">
        <v>6</v>
      </c>
      <c r="D35" s="1" t="s">
        <v>22</v>
      </c>
      <c r="E35" s="1" t="s">
        <v>32</v>
      </c>
      <c r="F35" s="9">
        <f>DATE(YEAR(Table1[[#This Row],[Date]]), MONTH(Table1[[#This Row],[Date]]), 1)</f>
        <v>43132</v>
      </c>
    </row>
    <row r="36" spans="1:6" x14ac:dyDescent="0.25">
      <c r="A36" s="2">
        <v>43140</v>
      </c>
      <c r="B36" s="7">
        <v>30</v>
      </c>
      <c r="C36" s="1" t="s">
        <v>6</v>
      </c>
      <c r="D36" s="1" t="s">
        <v>15</v>
      </c>
      <c r="E36" s="1" t="s">
        <v>26</v>
      </c>
      <c r="F36" s="9">
        <f>DATE(YEAR(Table1[[#This Row],[Date]]), MONTH(Table1[[#This Row],[Date]]), 1)</f>
        <v>43132</v>
      </c>
    </row>
    <row r="37" spans="1:6" x14ac:dyDescent="0.25">
      <c r="A37" s="2">
        <v>43140</v>
      </c>
      <c r="B37" s="7">
        <v>10.69</v>
      </c>
      <c r="C37" s="1" t="s">
        <v>6</v>
      </c>
      <c r="D37" s="1" t="s">
        <v>20</v>
      </c>
      <c r="E37" s="1" t="s">
        <v>26</v>
      </c>
      <c r="F37" s="9">
        <f>DATE(YEAR(Table1[[#This Row],[Date]]), MONTH(Table1[[#This Row],[Date]]), 1)</f>
        <v>43132</v>
      </c>
    </row>
    <row r="38" spans="1:6" x14ac:dyDescent="0.25">
      <c r="A38" s="2">
        <v>43141</v>
      </c>
      <c r="B38" s="7">
        <v>10.66</v>
      </c>
      <c r="C38" s="1" t="s">
        <v>6</v>
      </c>
      <c r="D38" s="1" t="s">
        <v>1</v>
      </c>
      <c r="E38" s="1" t="s">
        <v>26</v>
      </c>
      <c r="F38" s="9">
        <f>DATE(YEAR(Table1[[#This Row],[Date]]), MONTH(Table1[[#This Row],[Date]]), 1)</f>
        <v>43132</v>
      </c>
    </row>
    <row r="39" spans="1:6" x14ac:dyDescent="0.25">
      <c r="A39" s="2">
        <v>43142</v>
      </c>
      <c r="B39" s="7">
        <v>106.8</v>
      </c>
      <c r="C39" s="1" t="s">
        <v>6</v>
      </c>
      <c r="D39" s="1" t="s">
        <v>12</v>
      </c>
      <c r="E39" s="1" t="s">
        <v>26</v>
      </c>
      <c r="F39" s="9">
        <f>DATE(YEAR(Table1[[#This Row],[Date]]), MONTH(Table1[[#This Row],[Date]]), 1)</f>
        <v>43132</v>
      </c>
    </row>
    <row r="40" spans="1:6" x14ac:dyDescent="0.25">
      <c r="A40" s="2">
        <v>43143</v>
      </c>
      <c r="B40" s="7">
        <v>36.47</v>
      </c>
      <c r="C40" s="1" t="s">
        <v>6</v>
      </c>
      <c r="D40" s="1" t="s">
        <v>13</v>
      </c>
      <c r="E40" s="1" t="s">
        <v>27</v>
      </c>
      <c r="F40" s="9">
        <f>DATE(YEAR(Table1[[#This Row],[Date]]), MONTH(Table1[[#This Row],[Date]]), 1)</f>
        <v>43132</v>
      </c>
    </row>
    <row r="41" spans="1:6" x14ac:dyDescent="0.25">
      <c r="A41" s="2">
        <v>43143</v>
      </c>
      <c r="B41" s="7">
        <v>89.52</v>
      </c>
      <c r="C41" s="1" t="s">
        <v>6</v>
      </c>
      <c r="D41" s="1" t="s">
        <v>17</v>
      </c>
      <c r="E41" s="1" t="s">
        <v>32</v>
      </c>
      <c r="F41" s="9">
        <f>DATE(YEAR(Table1[[#This Row],[Date]]), MONTH(Table1[[#This Row],[Date]]), 1)</f>
        <v>43132</v>
      </c>
    </row>
    <row r="42" spans="1:6" x14ac:dyDescent="0.25">
      <c r="A42" s="2">
        <v>43145</v>
      </c>
      <c r="B42" s="7">
        <v>14</v>
      </c>
      <c r="C42" s="1" t="s">
        <v>6</v>
      </c>
      <c r="D42" s="1" t="s">
        <v>7</v>
      </c>
      <c r="E42" s="1" t="s">
        <v>27</v>
      </c>
      <c r="F42" s="9">
        <f>DATE(YEAR(Table1[[#This Row],[Date]]), MONTH(Table1[[#This Row],[Date]]), 1)</f>
        <v>43132</v>
      </c>
    </row>
    <row r="43" spans="1:6" x14ac:dyDescent="0.25">
      <c r="A43" s="2">
        <v>43146</v>
      </c>
      <c r="B43" s="7">
        <v>10</v>
      </c>
      <c r="C43" s="1" t="s">
        <v>6</v>
      </c>
      <c r="D43" s="1" t="s">
        <v>12</v>
      </c>
      <c r="E43" s="1" t="s">
        <v>26</v>
      </c>
      <c r="F43" s="9">
        <f>DATE(YEAR(Table1[[#This Row],[Date]]), MONTH(Table1[[#This Row],[Date]]), 1)</f>
        <v>43132</v>
      </c>
    </row>
    <row r="44" spans="1:6" x14ac:dyDescent="0.25">
      <c r="A44" s="2">
        <v>43146</v>
      </c>
      <c r="B44" s="7">
        <v>60</v>
      </c>
      <c r="C44" s="1" t="s">
        <v>6</v>
      </c>
      <c r="D44" s="1" t="s">
        <v>22</v>
      </c>
      <c r="E44" s="1" t="s">
        <v>32</v>
      </c>
      <c r="F44" s="9">
        <f>DATE(YEAR(Table1[[#This Row],[Date]]), MONTH(Table1[[#This Row],[Date]]), 1)</f>
        <v>43132</v>
      </c>
    </row>
    <row r="45" spans="1:6" x14ac:dyDescent="0.25">
      <c r="A45" s="2">
        <v>43147</v>
      </c>
      <c r="B45" s="7">
        <v>2000</v>
      </c>
      <c r="C45" s="1" t="s">
        <v>5</v>
      </c>
      <c r="D45" s="1" t="s">
        <v>21</v>
      </c>
      <c r="E45" s="1" t="s">
        <v>25</v>
      </c>
      <c r="F45" s="9">
        <f>DATE(YEAR(Table1[[#This Row],[Date]]), MONTH(Table1[[#This Row],[Date]]), 1)</f>
        <v>43132</v>
      </c>
    </row>
    <row r="46" spans="1:6" x14ac:dyDescent="0.25">
      <c r="A46" s="2">
        <v>43147</v>
      </c>
      <c r="B46" s="7">
        <v>8</v>
      </c>
      <c r="C46" s="1" t="s">
        <v>6</v>
      </c>
      <c r="D46" s="1" t="s">
        <v>12</v>
      </c>
      <c r="E46" s="1" t="s">
        <v>27</v>
      </c>
      <c r="F46" s="9">
        <f>DATE(YEAR(Table1[[#This Row],[Date]]), MONTH(Table1[[#This Row],[Date]]), 1)</f>
        <v>43132</v>
      </c>
    </row>
    <row r="47" spans="1:6" x14ac:dyDescent="0.25">
      <c r="A47" s="2">
        <v>43147</v>
      </c>
      <c r="B47" s="7">
        <v>35</v>
      </c>
      <c r="C47" s="1" t="s">
        <v>6</v>
      </c>
      <c r="D47" s="1" t="s">
        <v>22</v>
      </c>
      <c r="E47" s="1" t="s">
        <v>32</v>
      </c>
      <c r="F47" s="9">
        <f>DATE(YEAR(Table1[[#This Row],[Date]]), MONTH(Table1[[#This Row],[Date]]), 1)</f>
        <v>43132</v>
      </c>
    </row>
    <row r="48" spans="1:6" x14ac:dyDescent="0.25">
      <c r="A48" s="2">
        <v>43151</v>
      </c>
      <c r="B48" s="7">
        <v>35.950000000000003</v>
      </c>
      <c r="C48" s="1" t="s">
        <v>6</v>
      </c>
      <c r="D48" s="1" t="s">
        <v>14</v>
      </c>
      <c r="E48" s="1" t="s">
        <v>27</v>
      </c>
      <c r="F48" s="9">
        <f>DATE(YEAR(Table1[[#This Row],[Date]]), MONTH(Table1[[#This Row],[Date]]), 1)</f>
        <v>43132</v>
      </c>
    </row>
    <row r="49" spans="1:6" x14ac:dyDescent="0.25">
      <c r="A49" s="2">
        <v>43151</v>
      </c>
      <c r="B49" s="7">
        <v>23.51</v>
      </c>
      <c r="C49" s="1" t="s">
        <v>6</v>
      </c>
      <c r="D49" s="1" t="s">
        <v>12</v>
      </c>
      <c r="E49" s="1" t="s">
        <v>27</v>
      </c>
      <c r="F49" s="9">
        <f>DATE(YEAR(Table1[[#This Row],[Date]]), MONTH(Table1[[#This Row],[Date]]), 1)</f>
        <v>43132</v>
      </c>
    </row>
    <row r="50" spans="1:6" x14ac:dyDescent="0.25">
      <c r="A50" s="2">
        <v>43152</v>
      </c>
      <c r="B50" s="7">
        <v>2</v>
      </c>
      <c r="C50" s="1" t="s">
        <v>6</v>
      </c>
      <c r="D50" s="1" t="s">
        <v>9</v>
      </c>
      <c r="E50" s="1" t="s">
        <v>26</v>
      </c>
      <c r="F50" s="9">
        <f>DATE(YEAR(Table1[[#This Row],[Date]]), MONTH(Table1[[#This Row],[Date]]), 1)</f>
        <v>43132</v>
      </c>
    </row>
    <row r="51" spans="1:6" x14ac:dyDescent="0.25">
      <c r="A51" s="2">
        <v>43153</v>
      </c>
      <c r="B51" s="7">
        <v>4</v>
      </c>
      <c r="C51" s="1" t="s">
        <v>6</v>
      </c>
      <c r="D51" s="1" t="s">
        <v>9</v>
      </c>
      <c r="E51" s="1" t="s">
        <v>27</v>
      </c>
      <c r="F51" s="9">
        <f>DATE(YEAR(Table1[[#This Row],[Date]]), MONTH(Table1[[#This Row],[Date]]), 1)</f>
        <v>43132</v>
      </c>
    </row>
    <row r="52" spans="1:6" x14ac:dyDescent="0.25">
      <c r="A52" s="2">
        <v>43157</v>
      </c>
      <c r="B52" s="7">
        <v>74.989999999999995</v>
      </c>
      <c r="C52" s="1" t="s">
        <v>6</v>
      </c>
      <c r="D52" s="1" t="s">
        <v>2</v>
      </c>
      <c r="E52" s="1" t="s">
        <v>32</v>
      </c>
      <c r="F52" s="9">
        <f>DATE(YEAR(Table1[[#This Row],[Date]]), MONTH(Table1[[#This Row],[Date]]), 1)</f>
        <v>43132</v>
      </c>
    </row>
    <row r="53" spans="1:6" x14ac:dyDescent="0.25">
      <c r="A53" s="2">
        <v>43157</v>
      </c>
      <c r="B53" s="7">
        <v>85.52</v>
      </c>
      <c r="C53" s="1" t="s">
        <v>6</v>
      </c>
      <c r="D53" s="1" t="s">
        <v>12</v>
      </c>
      <c r="E53" s="1" t="s">
        <v>27</v>
      </c>
      <c r="F53" s="9">
        <f>DATE(YEAR(Table1[[#This Row],[Date]]), MONTH(Table1[[#This Row],[Date]]), 1)</f>
        <v>43132</v>
      </c>
    </row>
    <row r="54" spans="1:6" x14ac:dyDescent="0.25">
      <c r="A54" s="2">
        <v>43157</v>
      </c>
      <c r="B54" s="7">
        <v>32.21</v>
      </c>
      <c r="C54" s="1" t="s">
        <v>6</v>
      </c>
      <c r="D54" s="1" t="s">
        <v>13</v>
      </c>
      <c r="E54" s="1" t="s">
        <v>27</v>
      </c>
      <c r="F54" s="9">
        <f>DATE(YEAR(Table1[[#This Row],[Date]]), MONTH(Table1[[#This Row],[Date]]), 1)</f>
        <v>43132</v>
      </c>
    </row>
    <row r="55" spans="1:6" x14ac:dyDescent="0.25">
      <c r="A55" s="2">
        <v>43160</v>
      </c>
      <c r="B55" s="7">
        <v>32.07</v>
      </c>
      <c r="C55" s="1" t="s">
        <v>6</v>
      </c>
      <c r="D55" s="1" t="s">
        <v>14</v>
      </c>
      <c r="E55" s="1" t="s">
        <v>27</v>
      </c>
      <c r="F55" s="9">
        <f>DATE(YEAR(Table1[[#This Row],[Date]]), MONTH(Table1[[#This Row],[Date]]), 1)</f>
        <v>43160</v>
      </c>
    </row>
    <row r="56" spans="1:6" x14ac:dyDescent="0.25">
      <c r="A56" s="2">
        <v>43160</v>
      </c>
      <c r="B56" s="7">
        <v>13.13</v>
      </c>
      <c r="C56" s="1" t="s">
        <v>6</v>
      </c>
      <c r="D56" s="1" t="s">
        <v>39</v>
      </c>
      <c r="E56" s="1" t="s">
        <v>26</v>
      </c>
      <c r="F56" s="9">
        <f>DATE(YEAR(Table1[[#This Row],[Date]]), MONTH(Table1[[#This Row],[Date]]), 1)</f>
        <v>43160</v>
      </c>
    </row>
    <row r="57" spans="1:6" x14ac:dyDescent="0.25">
      <c r="A57" s="2">
        <v>43161</v>
      </c>
      <c r="B57" s="7">
        <v>1247.44</v>
      </c>
      <c r="C57" s="1" t="s">
        <v>6</v>
      </c>
      <c r="D57" s="1" t="s">
        <v>18</v>
      </c>
      <c r="E57" s="1" t="s">
        <v>32</v>
      </c>
      <c r="F57" s="9">
        <f>DATE(YEAR(Table1[[#This Row],[Date]]), MONTH(Table1[[#This Row],[Date]]), 1)</f>
        <v>43160</v>
      </c>
    </row>
    <row r="58" spans="1:6" x14ac:dyDescent="0.25">
      <c r="A58" s="2">
        <v>43161</v>
      </c>
      <c r="B58" s="7">
        <v>2000</v>
      </c>
      <c r="C58" s="1" t="s">
        <v>5</v>
      </c>
      <c r="D58" s="1" t="s">
        <v>21</v>
      </c>
      <c r="E58" s="1" t="s">
        <v>25</v>
      </c>
      <c r="F58" s="9">
        <f>DATE(YEAR(Table1[[#This Row],[Date]]), MONTH(Table1[[#This Row],[Date]]), 1)</f>
        <v>43160</v>
      </c>
    </row>
    <row r="59" spans="1:6" x14ac:dyDescent="0.25">
      <c r="A59" s="2">
        <v>43162</v>
      </c>
      <c r="B59" s="7">
        <v>23.74</v>
      </c>
      <c r="C59" s="1" t="s">
        <v>6</v>
      </c>
      <c r="D59" s="1" t="s">
        <v>14</v>
      </c>
      <c r="E59" s="1" t="s">
        <v>27</v>
      </c>
      <c r="F59" s="9">
        <f>DATE(YEAR(Table1[[#This Row],[Date]]), MONTH(Table1[[#This Row],[Date]]), 1)</f>
        <v>43160</v>
      </c>
    </row>
    <row r="60" spans="1:6" x14ac:dyDescent="0.25">
      <c r="A60" s="2">
        <v>43163</v>
      </c>
      <c r="B60" s="7">
        <v>10.69</v>
      </c>
      <c r="C60" s="1" t="s">
        <v>6</v>
      </c>
      <c r="D60" s="1" t="s">
        <v>14</v>
      </c>
      <c r="E60" s="1" t="s">
        <v>26</v>
      </c>
      <c r="F60" s="9">
        <f>DATE(YEAR(Table1[[#This Row],[Date]]), MONTH(Table1[[#This Row],[Date]]), 1)</f>
        <v>43160</v>
      </c>
    </row>
    <row r="61" spans="1:6" x14ac:dyDescent="0.25">
      <c r="A61" s="2">
        <v>43163</v>
      </c>
      <c r="B61" s="7">
        <v>11.76</v>
      </c>
      <c r="C61" s="1" t="s">
        <v>6</v>
      </c>
      <c r="D61" s="1" t="s">
        <v>19</v>
      </c>
      <c r="E61" s="1" t="s">
        <v>26</v>
      </c>
      <c r="F61" s="9">
        <f>DATE(YEAR(Table1[[#This Row],[Date]]), MONTH(Table1[[#This Row],[Date]]), 1)</f>
        <v>43160</v>
      </c>
    </row>
    <row r="62" spans="1:6" x14ac:dyDescent="0.25">
      <c r="A62" s="2">
        <v>43163</v>
      </c>
      <c r="B62" s="7">
        <v>42.24</v>
      </c>
      <c r="C62" s="1" t="s">
        <v>6</v>
      </c>
      <c r="D62" s="1" t="s">
        <v>12</v>
      </c>
      <c r="E62" s="1" t="s">
        <v>26</v>
      </c>
      <c r="F62" s="9">
        <f>DATE(YEAR(Table1[[#This Row],[Date]]), MONTH(Table1[[#This Row],[Date]]), 1)</f>
        <v>43160</v>
      </c>
    </row>
    <row r="63" spans="1:6" x14ac:dyDescent="0.25">
      <c r="A63" s="2">
        <v>43164</v>
      </c>
      <c r="B63" s="7">
        <v>3</v>
      </c>
      <c r="C63" s="1" t="s">
        <v>6</v>
      </c>
      <c r="D63" s="1" t="s">
        <v>9</v>
      </c>
      <c r="E63" s="1" t="s">
        <v>26</v>
      </c>
      <c r="F63" s="9">
        <f>DATE(YEAR(Table1[[#This Row],[Date]]), MONTH(Table1[[#This Row],[Date]]), 1)</f>
        <v>43160</v>
      </c>
    </row>
    <row r="64" spans="1:6" x14ac:dyDescent="0.25">
      <c r="A64" s="2">
        <v>43166</v>
      </c>
      <c r="B64" s="7">
        <v>3.5</v>
      </c>
      <c r="C64" s="1" t="s">
        <v>6</v>
      </c>
      <c r="D64" s="1" t="s">
        <v>9</v>
      </c>
      <c r="E64" s="1" t="s">
        <v>26</v>
      </c>
      <c r="F64" s="9">
        <f>DATE(YEAR(Table1[[#This Row],[Date]]), MONTH(Table1[[#This Row],[Date]]), 1)</f>
        <v>43160</v>
      </c>
    </row>
    <row r="65" spans="1:6" x14ac:dyDescent="0.25">
      <c r="A65" s="2">
        <v>43167</v>
      </c>
      <c r="B65" s="7">
        <v>34.9</v>
      </c>
      <c r="C65" s="1" t="s">
        <v>6</v>
      </c>
      <c r="D65" s="1" t="s">
        <v>13</v>
      </c>
      <c r="E65" s="1" t="s">
        <v>26</v>
      </c>
      <c r="F65" s="9">
        <f>DATE(YEAR(Table1[[#This Row],[Date]]), MONTH(Table1[[#This Row],[Date]]), 1)</f>
        <v>43160</v>
      </c>
    </row>
    <row r="66" spans="1:6" x14ac:dyDescent="0.25">
      <c r="A66" s="2">
        <v>43167</v>
      </c>
      <c r="B66" s="7">
        <v>52</v>
      </c>
      <c r="C66" s="1" t="s">
        <v>6</v>
      </c>
      <c r="D66" s="1" t="s">
        <v>22</v>
      </c>
      <c r="E66" s="1" t="s">
        <v>32</v>
      </c>
      <c r="F66" s="9">
        <f>DATE(YEAR(Table1[[#This Row],[Date]]), MONTH(Table1[[#This Row],[Date]]), 1)</f>
        <v>43160</v>
      </c>
    </row>
    <row r="67" spans="1:6" x14ac:dyDescent="0.25">
      <c r="A67" s="2">
        <v>43168</v>
      </c>
      <c r="B67" s="7">
        <v>20.72</v>
      </c>
      <c r="C67" s="1" t="s">
        <v>6</v>
      </c>
      <c r="D67" s="1" t="s">
        <v>14</v>
      </c>
      <c r="E67" s="1" t="s">
        <v>26</v>
      </c>
      <c r="F67" s="9">
        <f>DATE(YEAR(Table1[[#This Row],[Date]]), MONTH(Table1[[#This Row],[Date]]), 1)</f>
        <v>43160</v>
      </c>
    </row>
    <row r="68" spans="1:6" x14ac:dyDescent="0.25">
      <c r="A68" s="2">
        <v>43168</v>
      </c>
      <c r="B68" s="7">
        <v>5.09</v>
      </c>
      <c r="C68" s="1" t="s">
        <v>6</v>
      </c>
      <c r="D68" s="1" t="s">
        <v>14</v>
      </c>
      <c r="E68" s="1" t="s">
        <v>26</v>
      </c>
      <c r="F68" s="9">
        <f>DATE(YEAR(Table1[[#This Row],[Date]]), MONTH(Table1[[#This Row],[Date]]), 1)</f>
        <v>43160</v>
      </c>
    </row>
    <row r="69" spans="1:6" x14ac:dyDescent="0.25">
      <c r="A69" s="2">
        <v>43168</v>
      </c>
      <c r="B69" s="7">
        <v>10.69</v>
      </c>
      <c r="C69" s="1" t="s">
        <v>6</v>
      </c>
      <c r="D69" s="1" t="s">
        <v>20</v>
      </c>
      <c r="E69" s="1" t="s">
        <v>26</v>
      </c>
      <c r="F69" s="9">
        <f>DATE(YEAR(Table1[[#This Row],[Date]]), MONTH(Table1[[#This Row],[Date]]), 1)</f>
        <v>43160</v>
      </c>
    </row>
    <row r="70" spans="1:6" x14ac:dyDescent="0.25">
      <c r="A70" s="2">
        <v>43171</v>
      </c>
      <c r="B70" s="7">
        <v>19.350000000000001</v>
      </c>
      <c r="C70" s="1" t="s">
        <v>6</v>
      </c>
      <c r="D70" s="1" t="s">
        <v>14</v>
      </c>
      <c r="E70" s="1" t="s">
        <v>26</v>
      </c>
      <c r="F70" s="9">
        <f>DATE(YEAR(Table1[[#This Row],[Date]]), MONTH(Table1[[#This Row],[Date]]), 1)</f>
        <v>43160</v>
      </c>
    </row>
    <row r="71" spans="1:6" x14ac:dyDescent="0.25">
      <c r="A71" s="2">
        <v>43171</v>
      </c>
      <c r="B71" s="7">
        <v>89.52</v>
      </c>
      <c r="C71" s="1" t="s">
        <v>6</v>
      </c>
      <c r="D71" s="1" t="s">
        <v>17</v>
      </c>
      <c r="E71" s="1" t="s">
        <v>32</v>
      </c>
      <c r="F71" s="9">
        <f>DATE(YEAR(Table1[[#This Row],[Date]]), MONTH(Table1[[#This Row],[Date]]), 1)</f>
        <v>43160</v>
      </c>
    </row>
    <row r="72" spans="1:6" x14ac:dyDescent="0.25">
      <c r="A72" s="2">
        <v>43172</v>
      </c>
      <c r="B72" s="7">
        <v>45.75</v>
      </c>
      <c r="C72" s="1" t="s">
        <v>6</v>
      </c>
      <c r="D72" s="1" t="s">
        <v>39</v>
      </c>
      <c r="E72" s="1" t="s">
        <v>26</v>
      </c>
      <c r="F72" s="9">
        <f>DATE(YEAR(Table1[[#This Row],[Date]]), MONTH(Table1[[#This Row],[Date]]), 1)</f>
        <v>43160</v>
      </c>
    </row>
    <row r="73" spans="1:6" x14ac:dyDescent="0.25">
      <c r="A73" s="2">
        <v>43173</v>
      </c>
      <c r="B73" s="7">
        <v>22.5</v>
      </c>
      <c r="C73" s="1" t="s">
        <v>6</v>
      </c>
      <c r="D73" s="1" t="s">
        <v>14</v>
      </c>
      <c r="E73" s="1" t="s">
        <v>26</v>
      </c>
      <c r="F73" s="9">
        <f>DATE(YEAR(Table1[[#This Row],[Date]]), MONTH(Table1[[#This Row],[Date]]), 1)</f>
        <v>43160</v>
      </c>
    </row>
    <row r="74" spans="1:6" x14ac:dyDescent="0.25">
      <c r="A74" s="2">
        <v>43173</v>
      </c>
      <c r="B74" s="7">
        <v>8.49</v>
      </c>
      <c r="C74" s="1" t="s">
        <v>6</v>
      </c>
      <c r="D74" s="1" t="s">
        <v>12</v>
      </c>
      <c r="E74" s="1" t="s">
        <v>26</v>
      </c>
      <c r="F74" s="9">
        <f>DATE(YEAR(Table1[[#This Row],[Date]]), MONTH(Table1[[#This Row],[Date]]), 1)</f>
        <v>43160</v>
      </c>
    </row>
    <row r="75" spans="1:6" x14ac:dyDescent="0.25">
      <c r="A75" s="2">
        <v>43174</v>
      </c>
      <c r="B75" s="7">
        <v>3.5</v>
      </c>
      <c r="C75" s="1" t="s">
        <v>6</v>
      </c>
      <c r="D75" s="1" t="s">
        <v>9</v>
      </c>
      <c r="E75" s="1" t="s">
        <v>26</v>
      </c>
      <c r="F75" s="9">
        <f>DATE(YEAR(Table1[[#This Row],[Date]]), MONTH(Table1[[#This Row],[Date]]), 1)</f>
        <v>43160</v>
      </c>
    </row>
    <row r="76" spans="1:6" x14ac:dyDescent="0.25">
      <c r="A76" s="2">
        <v>43174</v>
      </c>
      <c r="B76" s="7">
        <v>60</v>
      </c>
      <c r="C76" s="1" t="s">
        <v>6</v>
      </c>
      <c r="D76" s="1" t="s">
        <v>22</v>
      </c>
      <c r="E76" s="1" t="s">
        <v>32</v>
      </c>
      <c r="F76" s="9">
        <f>DATE(YEAR(Table1[[#This Row],[Date]]), MONTH(Table1[[#This Row],[Date]]), 1)</f>
        <v>43160</v>
      </c>
    </row>
    <row r="77" spans="1:6" x14ac:dyDescent="0.25">
      <c r="A77" s="2">
        <v>43175</v>
      </c>
      <c r="B77" s="7">
        <v>2000</v>
      </c>
      <c r="C77" s="1" t="s">
        <v>5</v>
      </c>
      <c r="D77" s="1" t="s">
        <v>21</v>
      </c>
      <c r="E77" s="1" t="s">
        <v>25</v>
      </c>
      <c r="F77" s="9">
        <f>DATE(YEAR(Table1[[#This Row],[Date]]), MONTH(Table1[[#This Row],[Date]]), 1)</f>
        <v>43160</v>
      </c>
    </row>
    <row r="78" spans="1:6" x14ac:dyDescent="0.25">
      <c r="A78" s="2">
        <v>43176</v>
      </c>
      <c r="B78" s="7">
        <v>19.5</v>
      </c>
      <c r="C78" s="1" t="s">
        <v>6</v>
      </c>
      <c r="D78" s="1" t="s">
        <v>7</v>
      </c>
      <c r="E78" s="1" t="s">
        <v>27</v>
      </c>
      <c r="F78" s="9">
        <f>DATE(YEAR(Table1[[#This Row],[Date]]), MONTH(Table1[[#This Row],[Date]]), 1)</f>
        <v>43160</v>
      </c>
    </row>
    <row r="79" spans="1:6" x14ac:dyDescent="0.25">
      <c r="A79" s="2">
        <v>43176</v>
      </c>
      <c r="B79" s="7">
        <v>23.34</v>
      </c>
      <c r="C79" s="1" t="s">
        <v>6</v>
      </c>
      <c r="D79" s="1" t="s">
        <v>1</v>
      </c>
      <c r="E79" s="1" t="s">
        <v>26</v>
      </c>
      <c r="F79" s="9">
        <f>DATE(YEAR(Table1[[#This Row],[Date]]), MONTH(Table1[[#This Row],[Date]]), 1)</f>
        <v>43160</v>
      </c>
    </row>
    <row r="80" spans="1:6" x14ac:dyDescent="0.25">
      <c r="A80" s="2">
        <v>43178</v>
      </c>
      <c r="B80" s="7">
        <v>36.479999999999997</v>
      </c>
      <c r="C80" s="1" t="s">
        <v>6</v>
      </c>
      <c r="D80" s="1" t="s">
        <v>12</v>
      </c>
      <c r="E80" s="1" t="s">
        <v>27</v>
      </c>
      <c r="F80" s="9">
        <f>DATE(YEAR(Table1[[#This Row],[Date]]), MONTH(Table1[[#This Row],[Date]]), 1)</f>
        <v>43160</v>
      </c>
    </row>
    <row r="81" spans="1:6" x14ac:dyDescent="0.25">
      <c r="A81" s="2">
        <v>43178</v>
      </c>
      <c r="B81" s="7">
        <v>35</v>
      </c>
      <c r="C81" s="1" t="s">
        <v>6</v>
      </c>
      <c r="D81" s="1" t="s">
        <v>22</v>
      </c>
      <c r="E81" s="1" t="s">
        <v>32</v>
      </c>
      <c r="F81" s="9">
        <f>DATE(YEAR(Table1[[#This Row],[Date]]), MONTH(Table1[[#This Row],[Date]]), 1)</f>
        <v>43160</v>
      </c>
    </row>
    <row r="82" spans="1:6" x14ac:dyDescent="0.25">
      <c r="A82" s="2">
        <v>43179</v>
      </c>
      <c r="B82" s="7">
        <v>14.97</v>
      </c>
      <c r="C82" s="1" t="s">
        <v>6</v>
      </c>
      <c r="D82" s="1" t="s">
        <v>39</v>
      </c>
      <c r="E82" s="1" t="s">
        <v>26</v>
      </c>
      <c r="F82" s="9">
        <f>DATE(YEAR(Table1[[#This Row],[Date]]), MONTH(Table1[[#This Row],[Date]]), 1)</f>
        <v>43160</v>
      </c>
    </row>
    <row r="83" spans="1:6" x14ac:dyDescent="0.25">
      <c r="A83" s="2">
        <v>43181</v>
      </c>
      <c r="B83" s="7">
        <v>30.55</v>
      </c>
      <c r="C83" s="1" t="s">
        <v>6</v>
      </c>
      <c r="D83" s="1" t="s">
        <v>13</v>
      </c>
      <c r="E83" s="1" t="s">
        <v>27</v>
      </c>
      <c r="F83" s="9">
        <f>DATE(YEAR(Table1[[#This Row],[Date]]), MONTH(Table1[[#This Row],[Date]]), 1)</f>
        <v>43160</v>
      </c>
    </row>
    <row r="84" spans="1:6" x14ac:dyDescent="0.25">
      <c r="A84" s="2">
        <v>43182</v>
      </c>
      <c r="B84" s="7">
        <v>11.76</v>
      </c>
      <c r="C84" s="1" t="s">
        <v>6</v>
      </c>
      <c r="D84" s="1" t="s">
        <v>14</v>
      </c>
      <c r="E84" s="1" t="s">
        <v>27</v>
      </c>
      <c r="F84" s="9">
        <f>DATE(YEAR(Table1[[#This Row],[Date]]), MONTH(Table1[[#This Row],[Date]]), 1)</f>
        <v>43160</v>
      </c>
    </row>
    <row r="85" spans="1:6" x14ac:dyDescent="0.25">
      <c r="A85" s="2">
        <v>43185</v>
      </c>
      <c r="B85" s="7">
        <v>74.989999999999995</v>
      </c>
      <c r="C85" s="1" t="s">
        <v>6</v>
      </c>
      <c r="D85" s="1" t="s">
        <v>2</v>
      </c>
      <c r="E85" s="1" t="s">
        <v>32</v>
      </c>
      <c r="F85" s="9">
        <f>DATE(YEAR(Table1[[#This Row],[Date]]), MONTH(Table1[[#This Row],[Date]]), 1)</f>
        <v>43160</v>
      </c>
    </row>
    <row r="86" spans="1:6" x14ac:dyDescent="0.25">
      <c r="A86" s="2">
        <v>43187</v>
      </c>
      <c r="B86" s="7">
        <v>16.059999999999999</v>
      </c>
      <c r="C86" s="1" t="s">
        <v>6</v>
      </c>
      <c r="D86" s="1" t="s">
        <v>14</v>
      </c>
      <c r="E86" s="1" t="s">
        <v>27</v>
      </c>
      <c r="F86" s="9">
        <f>DATE(YEAR(Table1[[#This Row],[Date]]), MONTH(Table1[[#This Row],[Date]]), 1)</f>
        <v>43160</v>
      </c>
    </row>
    <row r="87" spans="1:6" x14ac:dyDescent="0.25">
      <c r="A87" s="2">
        <v>43187</v>
      </c>
      <c r="B87" s="7">
        <v>24.98</v>
      </c>
      <c r="C87" s="1" t="s">
        <v>6</v>
      </c>
      <c r="D87" s="1" t="s">
        <v>12</v>
      </c>
      <c r="E87" s="1" t="s">
        <v>27</v>
      </c>
      <c r="F87" s="9">
        <f>DATE(YEAR(Table1[[#This Row],[Date]]), MONTH(Table1[[#This Row],[Date]]), 1)</f>
        <v>43160</v>
      </c>
    </row>
    <row r="88" spans="1:6" x14ac:dyDescent="0.25">
      <c r="A88" s="2">
        <v>43188</v>
      </c>
      <c r="B88" s="7">
        <v>17.64</v>
      </c>
      <c r="C88" s="1" t="s">
        <v>6</v>
      </c>
      <c r="D88" s="1" t="s">
        <v>12</v>
      </c>
      <c r="E88" s="1" t="s">
        <v>27</v>
      </c>
      <c r="F88" s="9">
        <f>DATE(YEAR(Table1[[#This Row],[Date]]), MONTH(Table1[[#This Row],[Date]]), 1)</f>
        <v>43160</v>
      </c>
    </row>
    <row r="89" spans="1:6" x14ac:dyDescent="0.25">
      <c r="A89" s="2">
        <v>43189</v>
      </c>
      <c r="B89" s="7">
        <v>9.09</v>
      </c>
      <c r="C89" s="1" t="s">
        <v>6</v>
      </c>
      <c r="D89" s="1" t="s">
        <v>14</v>
      </c>
      <c r="E89" s="1" t="s">
        <v>27</v>
      </c>
      <c r="F89" s="9">
        <f>DATE(YEAR(Table1[[#This Row],[Date]]), MONTH(Table1[[#This Row],[Date]]), 1)</f>
        <v>43160</v>
      </c>
    </row>
    <row r="90" spans="1:6" x14ac:dyDescent="0.25">
      <c r="A90" s="2">
        <v>43189</v>
      </c>
      <c r="B90" s="7">
        <v>2000</v>
      </c>
      <c r="C90" s="1" t="s">
        <v>5</v>
      </c>
      <c r="D90" s="1" t="s">
        <v>21</v>
      </c>
      <c r="E90" s="1" t="s">
        <v>25</v>
      </c>
      <c r="F90" s="9">
        <f>DATE(YEAR(Table1[[#This Row],[Date]]), MONTH(Table1[[#This Row],[Date]]), 1)</f>
        <v>43160</v>
      </c>
    </row>
    <row r="91" spans="1:6" x14ac:dyDescent="0.25">
      <c r="A91" s="2">
        <v>43190</v>
      </c>
      <c r="B91" s="7">
        <v>38.32</v>
      </c>
      <c r="C91" s="1" t="s">
        <v>6</v>
      </c>
      <c r="D91" s="1" t="s">
        <v>12</v>
      </c>
      <c r="E91" s="1" t="s">
        <v>26</v>
      </c>
      <c r="F91" s="9">
        <f>DATE(YEAR(Table1[[#This Row],[Date]]), MONTH(Table1[[#This Row],[Date]]), 1)</f>
        <v>43160</v>
      </c>
    </row>
    <row r="92" spans="1:6" x14ac:dyDescent="0.25">
      <c r="A92" s="2">
        <v>43190</v>
      </c>
      <c r="B92" s="7">
        <v>24.74</v>
      </c>
      <c r="C92" s="1" t="s">
        <v>6</v>
      </c>
      <c r="D92" s="1" t="s">
        <v>12</v>
      </c>
      <c r="E92" s="1" t="s">
        <v>26</v>
      </c>
      <c r="F92" s="9">
        <f>DATE(YEAR(Table1[[#This Row],[Date]]), MONTH(Table1[[#This Row],[Date]]), 1)</f>
        <v>43160</v>
      </c>
    </row>
    <row r="93" spans="1:6" x14ac:dyDescent="0.25">
      <c r="A93" s="2">
        <v>43190</v>
      </c>
      <c r="B93" s="7">
        <v>41.16</v>
      </c>
      <c r="C93" s="1" t="s">
        <v>6</v>
      </c>
      <c r="D93" s="1" t="s">
        <v>12</v>
      </c>
      <c r="E93" s="1" t="s">
        <v>27</v>
      </c>
      <c r="F93" s="9">
        <f>DATE(YEAR(Table1[[#This Row],[Date]]), MONTH(Table1[[#This Row],[Date]]), 1)</f>
        <v>43160</v>
      </c>
    </row>
    <row r="94" spans="1:6" x14ac:dyDescent="0.25">
      <c r="A94" s="2">
        <v>43191</v>
      </c>
      <c r="B94" s="7">
        <v>80.790000000000006</v>
      </c>
      <c r="C94" s="1" t="s">
        <v>6</v>
      </c>
      <c r="D94" s="1" t="s">
        <v>14</v>
      </c>
      <c r="E94" s="1" t="s">
        <v>26</v>
      </c>
      <c r="F94" s="9">
        <f>DATE(YEAR(Table1[[#This Row],[Date]]), MONTH(Table1[[#This Row],[Date]]), 1)</f>
        <v>43191</v>
      </c>
    </row>
    <row r="95" spans="1:6" x14ac:dyDescent="0.25">
      <c r="A95" s="2">
        <v>43191</v>
      </c>
      <c r="B95" s="7">
        <v>59.48</v>
      </c>
      <c r="C95" s="1" t="s">
        <v>6</v>
      </c>
      <c r="D95" s="1" t="s">
        <v>12</v>
      </c>
      <c r="E95" s="1" t="s">
        <v>26</v>
      </c>
      <c r="F95" s="9">
        <f>DATE(YEAR(Table1[[#This Row],[Date]]), MONTH(Table1[[#This Row],[Date]]), 1)</f>
        <v>43191</v>
      </c>
    </row>
    <row r="96" spans="1:6" x14ac:dyDescent="0.25">
      <c r="A96" s="2">
        <v>43191</v>
      </c>
      <c r="B96" s="7">
        <v>13.13</v>
      </c>
      <c r="C96" s="1" t="s">
        <v>6</v>
      </c>
      <c r="D96" s="1" t="s">
        <v>39</v>
      </c>
      <c r="E96" s="1" t="s">
        <v>26</v>
      </c>
      <c r="F96" s="9">
        <f>DATE(YEAR(Table1[[#This Row],[Date]]), MONTH(Table1[[#This Row],[Date]]), 1)</f>
        <v>43191</v>
      </c>
    </row>
    <row r="97" spans="1:6" x14ac:dyDescent="0.25">
      <c r="A97" s="2">
        <v>43192</v>
      </c>
      <c r="B97" s="7">
        <v>82.36</v>
      </c>
      <c r="C97" s="1" t="s">
        <v>6</v>
      </c>
      <c r="D97" s="1" t="s">
        <v>14</v>
      </c>
      <c r="E97" s="1" t="s">
        <v>26</v>
      </c>
      <c r="F97" s="9">
        <f>DATE(YEAR(Table1[[#This Row],[Date]]), MONTH(Table1[[#This Row],[Date]]), 1)</f>
        <v>43191</v>
      </c>
    </row>
    <row r="98" spans="1:6" x14ac:dyDescent="0.25">
      <c r="A98" s="2">
        <v>43192</v>
      </c>
      <c r="B98" s="7">
        <v>13.89</v>
      </c>
      <c r="C98" s="1" t="s">
        <v>6</v>
      </c>
      <c r="D98" s="1" t="s">
        <v>16</v>
      </c>
      <c r="E98" s="1" t="s">
        <v>26</v>
      </c>
      <c r="F98" s="9">
        <f>DATE(YEAR(Table1[[#This Row],[Date]]), MONTH(Table1[[#This Row],[Date]]), 1)</f>
        <v>43191</v>
      </c>
    </row>
    <row r="99" spans="1:6" x14ac:dyDescent="0.25">
      <c r="A99" s="2">
        <v>43192</v>
      </c>
      <c r="B99" s="7">
        <v>1247.44</v>
      </c>
      <c r="C99" s="1" t="s">
        <v>6</v>
      </c>
      <c r="D99" s="1" t="s">
        <v>18</v>
      </c>
      <c r="E99" s="1" t="s">
        <v>32</v>
      </c>
      <c r="F99" s="9">
        <f>DATE(YEAR(Table1[[#This Row],[Date]]), MONTH(Table1[[#This Row],[Date]]), 1)</f>
        <v>43191</v>
      </c>
    </row>
    <row r="100" spans="1:6" x14ac:dyDescent="0.25">
      <c r="A100" s="2">
        <v>43193</v>
      </c>
      <c r="B100" s="7">
        <v>6.41</v>
      </c>
      <c r="C100" s="1" t="s">
        <v>6</v>
      </c>
      <c r="D100" s="1" t="s">
        <v>19</v>
      </c>
      <c r="E100" s="1" t="s">
        <v>26</v>
      </c>
      <c r="F100" s="9">
        <f>DATE(YEAR(Table1[[#This Row],[Date]]), MONTH(Table1[[#This Row],[Date]]), 1)</f>
        <v>43191</v>
      </c>
    </row>
    <row r="101" spans="1:6" x14ac:dyDescent="0.25">
      <c r="A101" s="2">
        <v>43194</v>
      </c>
      <c r="B101" s="7">
        <v>11.76</v>
      </c>
      <c r="C101" s="1" t="s">
        <v>6</v>
      </c>
      <c r="D101" s="1" t="s">
        <v>19</v>
      </c>
      <c r="E101" s="1" t="s">
        <v>26</v>
      </c>
      <c r="F101" s="9">
        <f>DATE(YEAR(Table1[[#This Row],[Date]]), MONTH(Table1[[#This Row],[Date]]), 1)</f>
        <v>43191</v>
      </c>
    </row>
    <row r="102" spans="1:6" x14ac:dyDescent="0.25">
      <c r="A102" s="2">
        <v>43196</v>
      </c>
      <c r="B102" s="7">
        <v>4.58</v>
      </c>
      <c r="C102" s="1" t="s">
        <v>6</v>
      </c>
      <c r="D102" s="1" t="s">
        <v>13</v>
      </c>
      <c r="E102" s="1" t="s">
        <v>26</v>
      </c>
      <c r="F102" s="9">
        <f>DATE(YEAR(Table1[[#This Row],[Date]]), MONTH(Table1[[#This Row],[Date]]), 1)</f>
        <v>43191</v>
      </c>
    </row>
    <row r="103" spans="1:6" x14ac:dyDescent="0.25">
      <c r="A103" s="2">
        <v>43196</v>
      </c>
      <c r="B103" s="7">
        <v>9.76</v>
      </c>
      <c r="C103" s="1" t="s">
        <v>6</v>
      </c>
      <c r="D103" s="1" t="s">
        <v>12</v>
      </c>
      <c r="E103" s="1" t="s">
        <v>26</v>
      </c>
      <c r="F103" s="9">
        <f>DATE(YEAR(Table1[[#This Row],[Date]]), MONTH(Table1[[#This Row],[Date]]), 1)</f>
        <v>43191</v>
      </c>
    </row>
    <row r="104" spans="1:6" x14ac:dyDescent="0.25">
      <c r="A104" s="2">
        <v>43198</v>
      </c>
      <c r="B104" s="7">
        <v>22</v>
      </c>
      <c r="C104" s="1" t="s">
        <v>6</v>
      </c>
      <c r="D104" s="1" t="s">
        <v>12</v>
      </c>
      <c r="E104" s="1" t="s">
        <v>26</v>
      </c>
      <c r="F104" s="9">
        <f>DATE(YEAR(Table1[[#This Row],[Date]]), MONTH(Table1[[#This Row],[Date]]), 1)</f>
        <v>43191</v>
      </c>
    </row>
    <row r="105" spans="1:6" x14ac:dyDescent="0.25">
      <c r="A105" s="2">
        <v>43199</v>
      </c>
      <c r="B105" s="7">
        <v>6.48</v>
      </c>
      <c r="C105" s="1" t="s">
        <v>6</v>
      </c>
      <c r="D105" s="1" t="s">
        <v>14</v>
      </c>
      <c r="E105" s="1" t="s">
        <v>27</v>
      </c>
      <c r="F105" s="9">
        <f>DATE(YEAR(Table1[[#This Row],[Date]]), MONTH(Table1[[#This Row],[Date]]), 1)</f>
        <v>43191</v>
      </c>
    </row>
    <row r="106" spans="1:6" x14ac:dyDescent="0.25">
      <c r="A106" s="2">
        <v>43199</v>
      </c>
      <c r="B106" s="7">
        <v>10.69</v>
      </c>
      <c r="C106" s="1" t="s">
        <v>6</v>
      </c>
      <c r="D106" s="1" t="s">
        <v>20</v>
      </c>
      <c r="E106" s="1" t="s">
        <v>26</v>
      </c>
      <c r="F106" s="9">
        <f>DATE(YEAR(Table1[[#This Row],[Date]]), MONTH(Table1[[#This Row],[Date]]), 1)</f>
        <v>43191</v>
      </c>
    </row>
    <row r="107" spans="1:6" x14ac:dyDescent="0.25">
      <c r="A107" s="2">
        <v>43199</v>
      </c>
      <c r="B107" s="7">
        <v>30</v>
      </c>
      <c r="C107" s="1" t="s">
        <v>6</v>
      </c>
      <c r="D107" s="1" t="s">
        <v>22</v>
      </c>
      <c r="E107" s="1" t="s">
        <v>32</v>
      </c>
      <c r="F107" s="9">
        <f>DATE(YEAR(Table1[[#This Row],[Date]]), MONTH(Table1[[#This Row],[Date]]), 1)</f>
        <v>43191</v>
      </c>
    </row>
    <row r="108" spans="1:6" x14ac:dyDescent="0.25">
      <c r="A108" s="2">
        <v>43201</v>
      </c>
      <c r="B108" s="7">
        <v>89.52</v>
      </c>
      <c r="C108" s="1" t="s">
        <v>6</v>
      </c>
      <c r="D108" s="1" t="s">
        <v>17</v>
      </c>
      <c r="E108" s="1" t="s">
        <v>32</v>
      </c>
      <c r="F108" s="9">
        <f>DATE(YEAR(Table1[[#This Row],[Date]]), MONTH(Table1[[#This Row],[Date]]), 1)</f>
        <v>43191</v>
      </c>
    </row>
    <row r="109" spans="1:6" x14ac:dyDescent="0.25">
      <c r="A109" s="2">
        <v>43202</v>
      </c>
      <c r="B109" s="7">
        <v>7</v>
      </c>
      <c r="C109" s="1" t="s">
        <v>6</v>
      </c>
      <c r="D109" s="1" t="s">
        <v>9</v>
      </c>
      <c r="E109" s="1" t="s">
        <v>26</v>
      </c>
      <c r="F109" s="9">
        <f>DATE(YEAR(Table1[[#This Row],[Date]]), MONTH(Table1[[#This Row],[Date]]), 1)</f>
        <v>43191</v>
      </c>
    </row>
    <row r="110" spans="1:6" x14ac:dyDescent="0.25">
      <c r="A110" s="2">
        <v>43202</v>
      </c>
      <c r="B110" s="7">
        <v>30</v>
      </c>
      <c r="C110" s="1" t="s">
        <v>6</v>
      </c>
      <c r="D110" s="1" t="s">
        <v>15</v>
      </c>
      <c r="E110" s="1" t="s">
        <v>26</v>
      </c>
      <c r="F110" s="9">
        <f>DATE(YEAR(Table1[[#This Row],[Date]]), MONTH(Table1[[#This Row],[Date]]), 1)</f>
        <v>43191</v>
      </c>
    </row>
    <row r="111" spans="1:6" x14ac:dyDescent="0.25">
      <c r="A111" s="2">
        <v>43203</v>
      </c>
      <c r="B111" s="7">
        <v>37.979999999999997</v>
      </c>
      <c r="C111" s="1" t="s">
        <v>6</v>
      </c>
      <c r="D111" s="1" t="s">
        <v>13</v>
      </c>
      <c r="E111" s="1" t="s">
        <v>26</v>
      </c>
      <c r="F111" s="9">
        <f>DATE(YEAR(Table1[[#This Row],[Date]]), MONTH(Table1[[#This Row],[Date]]), 1)</f>
        <v>43191</v>
      </c>
    </row>
    <row r="112" spans="1:6" x14ac:dyDescent="0.25">
      <c r="A112" s="2">
        <v>43203</v>
      </c>
      <c r="B112" s="7">
        <v>2000</v>
      </c>
      <c r="C112" s="1" t="s">
        <v>5</v>
      </c>
      <c r="D112" s="1" t="s">
        <v>21</v>
      </c>
      <c r="E112" s="1" t="s">
        <v>25</v>
      </c>
      <c r="F112" s="9">
        <f>DATE(YEAR(Table1[[#This Row],[Date]]), MONTH(Table1[[#This Row],[Date]]), 1)</f>
        <v>43191</v>
      </c>
    </row>
    <row r="113" spans="1:6" x14ac:dyDescent="0.25">
      <c r="A113" s="2">
        <v>43203</v>
      </c>
      <c r="B113" s="7">
        <v>10.66</v>
      </c>
      <c r="C113" s="1" t="s">
        <v>6</v>
      </c>
      <c r="D113" s="1" t="s">
        <v>12</v>
      </c>
      <c r="E113" s="1" t="s">
        <v>26</v>
      </c>
      <c r="F113" s="9">
        <f>DATE(YEAR(Table1[[#This Row],[Date]]), MONTH(Table1[[#This Row],[Date]]), 1)</f>
        <v>43191</v>
      </c>
    </row>
    <row r="114" spans="1:6" x14ac:dyDescent="0.25">
      <c r="A114" s="2">
        <v>43204</v>
      </c>
      <c r="B114" s="7">
        <v>11.61</v>
      </c>
      <c r="C114" s="1" t="s">
        <v>6</v>
      </c>
      <c r="D114" s="1" t="s">
        <v>16</v>
      </c>
      <c r="E114" s="1" t="s">
        <v>26</v>
      </c>
      <c r="F114" s="9">
        <f>DATE(YEAR(Table1[[#This Row],[Date]]), MONTH(Table1[[#This Row],[Date]]), 1)</f>
        <v>43191</v>
      </c>
    </row>
    <row r="115" spans="1:6" x14ac:dyDescent="0.25">
      <c r="A115" s="2">
        <v>43204</v>
      </c>
      <c r="B115" s="7">
        <v>41</v>
      </c>
      <c r="C115" s="1" t="s">
        <v>6</v>
      </c>
      <c r="D115" s="1" t="s">
        <v>12</v>
      </c>
      <c r="E115" s="1" t="s">
        <v>26</v>
      </c>
      <c r="F115" s="9">
        <f>DATE(YEAR(Table1[[#This Row],[Date]]), MONTH(Table1[[#This Row],[Date]]), 1)</f>
        <v>43191</v>
      </c>
    </row>
    <row r="116" spans="1:6" x14ac:dyDescent="0.25">
      <c r="A116" s="2">
        <v>43206</v>
      </c>
      <c r="B116" s="7">
        <v>75</v>
      </c>
      <c r="C116" s="1" t="s">
        <v>6</v>
      </c>
      <c r="D116" s="1" t="s">
        <v>8</v>
      </c>
      <c r="E116" s="1" t="s">
        <v>32</v>
      </c>
      <c r="F116" s="9">
        <f>DATE(YEAR(Table1[[#This Row],[Date]]), MONTH(Table1[[#This Row],[Date]]), 1)</f>
        <v>43191</v>
      </c>
    </row>
    <row r="117" spans="1:6" x14ac:dyDescent="0.25">
      <c r="A117" s="2">
        <v>43206</v>
      </c>
      <c r="B117" s="7">
        <v>35</v>
      </c>
      <c r="C117" s="1" t="s">
        <v>6</v>
      </c>
      <c r="D117" s="1" t="s">
        <v>22</v>
      </c>
      <c r="E117" s="1" t="s">
        <v>32</v>
      </c>
      <c r="F117" s="9">
        <f>DATE(YEAR(Table1[[#This Row],[Date]]), MONTH(Table1[[#This Row],[Date]]), 1)</f>
        <v>43191</v>
      </c>
    </row>
    <row r="118" spans="1:6" x14ac:dyDescent="0.25">
      <c r="A118" s="2">
        <v>43208</v>
      </c>
      <c r="B118" s="7">
        <v>60</v>
      </c>
      <c r="C118" s="1" t="s">
        <v>6</v>
      </c>
      <c r="D118" s="1" t="s">
        <v>22</v>
      </c>
      <c r="E118" s="1" t="s">
        <v>32</v>
      </c>
      <c r="F118" s="9">
        <f>DATE(YEAR(Table1[[#This Row],[Date]]), MONTH(Table1[[#This Row],[Date]]), 1)</f>
        <v>43191</v>
      </c>
    </row>
    <row r="119" spans="1:6" x14ac:dyDescent="0.25">
      <c r="A119" s="2">
        <v>43210</v>
      </c>
      <c r="B119" s="7">
        <v>24.22</v>
      </c>
      <c r="C119" s="1" t="s">
        <v>6</v>
      </c>
      <c r="D119" s="1" t="s">
        <v>12</v>
      </c>
      <c r="E119" s="1" t="s">
        <v>27</v>
      </c>
      <c r="F119" s="9">
        <f>DATE(YEAR(Table1[[#This Row],[Date]]), MONTH(Table1[[#This Row],[Date]]), 1)</f>
        <v>43191</v>
      </c>
    </row>
    <row r="120" spans="1:6" x14ac:dyDescent="0.25">
      <c r="A120" s="2">
        <v>43211</v>
      </c>
      <c r="B120" s="7">
        <v>4.32</v>
      </c>
      <c r="C120" s="1" t="s">
        <v>6</v>
      </c>
      <c r="D120" s="1" t="s">
        <v>14</v>
      </c>
      <c r="E120" s="1" t="s">
        <v>27</v>
      </c>
      <c r="F120" s="9">
        <f>DATE(YEAR(Table1[[#This Row],[Date]]), MONTH(Table1[[#This Row],[Date]]), 1)</f>
        <v>43191</v>
      </c>
    </row>
    <row r="121" spans="1:6" x14ac:dyDescent="0.25">
      <c r="A121" s="2">
        <v>43211</v>
      </c>
      <c r="B121" s="7">
        <v>35.15</v>
      </c>
      <c r="C121" s="1" t="s">
        <v>6</v>
      </c>
      <c r="D121" s="1" t="s">
        <v>12</v>
      </c>
      <c r="E121" s="1" t="s">
        <v>27</v>
      </c>
      <c r="F121" s="9">
        <f>DATE(YEAR(Table1[[#This Row],[Date]]), MONTH(Table1[[#This Row],[Date]]), 1)</f>
        <v>43191</v>
      </c>
    </row>
    <row r="122" spans="1:6" x14ac:dyDescent="0.25">
      <c r="A122" s="2">
        <v>43212</v>
      </c>
      <c r="B122" s="7">
        <v>21.32</v>
      </c>
      <c r="C122" s="1" t="s">
        <v>6</v>
      </c>
      <c r="D122" s="1" t="s">
        <v>14</v>
      </c>
      <c r="E122" s="1" t="s">
        <v>26</v>
      </c>
      <c r="F122" s="9">
        <f>DATE(YEAR(Table1[[#This Row],[Date]]), MONTH(Table1[[#This Row],[Date]]), 1)</f>
        <v>43191</v>
      </c>
    </row>
    <row r="123" spans="1:6" x14ac:dyDescent="0.25">
      <c r="A123" s="2">
        <v>43213</v>
      </c>
      <c r="B123" s="7">
        <v>42.7</v>
      </c>
      <c r="C123" s="1" t="s">
        <v>6</v>
      </c>
      <c r="D123" s="1" t="s">
        <v>16</v>
      </c>
      <c r="E123" s="1" t="s">
        <v>27</v>
      </c>
      <c r="F123" s="9">
        <f>DATE(YEAR(Table1[[#This Row],[Date]]), MONTH(Table1[[#This Row],[Date]]), 1)</f>
        <v>43191</v>
      </c>
    </row>
    <row r="124" spans="1:6" x14ac:dyDescent="0.25">
      <c r="A124" s="2">
        <v>43214</v>
      </c>
      <c r="B124" s="7">
        <v>224.7</v>
      </c>
      <c r="C124" s="1" t="s">
        <v>6</v>
      </c>
      <c r="D124" s="1" t="s">
        <v>16</v>
      </c>
      <c r="E124" s="1" t="s">
        <v>26</v>
      </c>
      <c r="F124" s="9">
        <f>DATE(YEAR(Table1[[#This Row],[Date]]), MONTH(Table1[[#This Row],[Date]]), 1)</f>
        <v>43191</v>
      </c>
    </row>
    <row r="125" spans="1:6" x14ac:dyDescent="0.25">
      <c r="A125" s="2">
        <v>43214</v>
      </c>
      <c r="B125" s="7">
        <v>41.34</v>
      </c>
      <c r="C125" s="1" t="s">
        <v>6</v>
      </c>
      <c r="D125" s="1" t="s">
        <v>39</v>
      </c>
      <c r="E125" s="1" t="s">
        <v>26</v>
      </c>
      <c r="F125" s="9">
        <f>DATE(YEAR(Table1[[#This Row],[Date]]), MONTH(Table1[[#This Row],[Date]]), 1)</f>
        <v>43191</v>
      </c>
    </row>
    <row r="126" spans="1:6" x14ac:dyDescent="0.25">
      <c r="A126" s="2">
        <v>43215</v>
      </c>
      <c r="B126" s="7">
        <v>210.79</v>
      </c>
      <c r="C126" s="1" t="s">
        <v>6</v>
      </c>
      <c r="D126" s="1" t="s">
        <v>16</v>
      </c>
      <c r="E126" s="1" t="s">
        <v>27</v>
      </c>
      <c r="F126" s="9">
        <f>DATE(YEAR(Table1[[#This Row],[Date]]), MONTH(Table1[[#This Row],[Date]]), 1)</f>
        <v>43191</v>
      </c>
    </row>
    <row r="127" spans="1:6" x14ac:dyDescent="0.25">
      <c r="A127" s="2">
        <v>43215</v>
      </c>
      <c r="B127" s="7">
        <v>74.989999999999995</v>
      </c>
      <c r="C127" s="1" t="s">
        <v>6</v>
      </c>
      <c r="D127" s="1" t="s">
        <v>2</v>
      </c>
      <c r="E127" s="1" t="s">
        <v>32</v>
      </c>
      <c r="F127" s="9">
        <f>DATE(YEAR(Table1[[#This Row],[Date]]), MONTH(Table1[[#This Row],[Date]]), 1)</f>
        <v>43191</v>
      </c>
    </row>
    <row r="128" spans="1:6" x14ac:dyDescent="0.25">
      <c r="A128" s="2">
        <v>43217</v>
      </c>
      <c r="B128" s="7">
        <v>2000</v>
      </c>
      <c r="C128" s="1" t="s">
        <v>5</v>
      </c>
      <c r="D128" s="1" t="s">
        <v>21</v>
      </c>
      <c r="E128" s="1" t="s">
        <v>25</v>
      </c>
      <c r="F128" s="9">
        <f>DATE(YEAR(Table1[[#This Row],[Date]]), MONTH(Table1[[#This Row],[Date]]), 1)</f>
        <v>43191</v>
      </c>
    </row>
    <row r="129" spans="1:6" x14ac:dyDescent="0.25">
      <c r="A129" s="2">
        <v>43218</v>
      </c>
      <c r="B129" s="7">
        <v>22.98</v>
      </c>
      <c r="C129" s="1" t="s">
        <v>6</v>
      </c>
      <c r="D129" s="1" t="s">
        <v>14</v>
      </c>
      <c r="E129" s="1" t="s">
        <v>27</v>
      </c>
      <c r="F129" s="9">
        <f>DATE(YEAR(Table1[[#This Row],[Date]]), MONTH(Table1[[#This Row],[Date]]), 1)</f>
        <v>43191</v>
      </c>
    </row>
    <row r="130" spans="1:6" x14ac:dyDescent="0.25">
      <c r="A130" s="2">
        <v>43219</v>
      </c>
      <c r="B130" s="7">
        <v>39</v>
      </c>
      <c r="C130" s="1" t="s">
        <v>6</v>
      </c>
      <c r="D130" s="1" t="s">
        <v>13</v>
      </c>
      <c r="E130" s="1" t="s">
        <v>26</v>
      </c>
      <c r="F130" s="9">
        <f>DATE(YEAR(Table1[[#This Row],[Date]]), MONTH(Table1[[#This Row],[Date]]), 1)</f>
        <v>43191</v>
      </c>
    </row>
    <row r="131" spans="1:6" x14ac:dyDescent="0.25">
      <c r="A131" s="2">
        <v>43219</v>
      </c>
      <c r="B131" s="7">
        <v>51.05</v>
      </c>
      <c r="C131" s="1" t="s">
        <v>6</v>
      </c>
      <c r="D131" s="1" t="s">
        <v>14</v>
      </c>
      <c r="E131" s="1" t="s">
        <v>26</v>
      </c>
      <c r="F131" s="9">
        <f>DATE(YEAR(Table1[[#This Row],[Date]]), MONTH(Table1[[#This Row],[Date]]), 1)</f>
        <v>43191</v>
      </c>
    </row>
    <row r="132" spans="1:6" x14ac:dyDescent="0.25">
      <c r="A132" s="2">
        <v>43219</v>
      </c>
      <c r="B132" s="7">
        <v>68.47</v>
      </c>
      <c r="C132" s="1" t="s">
        <v>6</v>
      </c>
      <c r="D132" s="1" t="s">
        <v>16</v>
      </c>
      <c r="E132" s="1" t="s">
        <v>26</v>
      </c>
      <c r="F132" s="9">
        <f>DATE(YEAR(Table1[[#This Row],[Date]]), MONTH(Table1[[#This Row],[Date]]), 1)</f>
        <v>43191</v>
      </c>
    </row>
    <row r="133" spans="1:6" x14ac:dyDescent="0.25">
      <c r="A133" s="2">
        <v>43220</v>
      </c>
      <c r="B133" s="7">
        <v>5.09</v>
      </c>
      <c r="C133" s="1" t="s">
        <v>6</v>
      </c>
      <c r="D133" s="1" t="s">
        <v>14</v>
      </c>
      <c r="E133" s="1" t="s">
        <v>26</v>
      </c>
      <c r="F133" s="9">
        <f>DATE(YEAR(Table1[[#This Row],[Date]]), MONTH(Table1[[#This Row],[Date]]), 1)</f>
        <v>43191</v>
      </c>
    </row>
    <row r="134" spans="1:6" x14ac:dyDescent="0.25">
      <c r="A134" s="2">
        <v>43221</v>
      </c>
      <c r="B134" s="7">
        <v>13.13</v>
      </c>
      <c r="C134" s="1" t="s">
        <v>6</v>
      </c>
      <c r="D134" s="1" t="s">
        <v>39</v>
      </c>
      <c r="E134" s="1" t="s">
        <v>26</v>
      </c>
      <c r="F134" s="9">
        <f>DATE(YEAR(Table1[[#This Row],[Date]]), MONTH(Table1[[#This Row],[Date]]), 1)</f>
        <v>43221</v>
      </c>
    </row>
    <row r="135" spans="1:6" x14ac:dyDescent="0.25">
      <c r="A135" s="2">
        <v>43222</v>
      </c>
      <c r="B135" s="7">
        <v>1247.44</v>
      </c>
      <c r="C135" s="1" t="s">
        <v>6</v>
      </c>
      <c r="D135" s="1" t="s">
        <v>18</v>
      </c>
      <c r="E135" s="1" t="s">
        <v>32</v>
      </c>
      <c r="F135" s="9">
        <f>DATE(YEAR(Table1[[#This Row],[Date]]), MONTH(Table1[[#This Row],[Date]]), 1)</f>
        <v>43221</v>
      </c>
    </row>
    <row r="136" spans="1:6" x14ac:dyDescent="0.25">
      <c r="A136" s="2">
        <v>43223</v>
      </c>
      <c r="B136" s="7">
        <v>49.72</v>
      </c>
      <c r="C136" s="1" t="s">
        <v>6</v>
      </c>
      <c r="D136" s="1" t="s">
        <v>39</v>
      </c>
      <c r="E136" s="1" t="s">
        <v>26</v>
      </c>
      <c r="F136" s="9">
        <f>DATE(YEAR(Table1[[#This Row],[Date]]), MONTH(Table1[[#This Row],[Date]]), 1)</f>
        <v>43221</v>
      </c>
    </row>
    <row r="137" spans="1:6" x14ac:dyDescent="0.25">
      <c r="A137" s="2">
        <v>43224</v>
      </c>
      <c r="B137" s="7">
        <v>42.23</v>
      </c>
      <c r="C137" s="1" t="s">
        <v>6</v>
      </c>
      <c r="D137" s="1" t="s">
        <v>14</v>
      </c>
      <c r="E137" s="1" t="s">
        <v>26</v>
      </c>
      <c r="F137" s="9">
        <f>DATE(YEAR(Table1[[#This Row],[Date]]), MONTH(Table1[[#This Row],[Date]]), 1)</f>
        <v>43221</v>
      </c>
    </row>
    <row r="138" spans="1:6" x14ac:dyDescent="0.25">
      <c r="A138" s="2">
        <v>43224</v>
      </c>
      <c r="B138" s="7">
        <v>11.76</v>
      </c>
      <c r="C138" s="1" t="s">
        <v>6</v>
      </c>
      <c r="D138" s="1" t="s">
        <v>19</v>
      </c>
      <c r="E138" s="1" t="s">
        <v>26</v>
      </c>
      <c r="F138" s="9">
        <f>DATE(YEAR(Table1[[#This Row],[Date]]), MONTH(Table1[[#This Row],[Date]]), 1)</f>
        <v>43221</v>
      </c>
    </row>
    <row r="139" spans="1:6" x14ac:dyDescent="0.25">
      <c r="A139" s="2">
        <v>43225</v>
      </c>
      <c r="B139" s="7">
        <v>7.27</v>
      </c>
      <c r="C139" s="1" t="s">
        <v>6</v>
      </c>
      <c r="D139" s="1" t="s">
        <v>1</v>
      </c>
      <c r="E139" s="1" t="s">
        <v>26</v>
      </c>
      <c r="F139" s="9">
        <f>DATE(YEAR(Table1[[#This Row],[Date]]), MONTH(Table1[[#This Row],[Date]]), 1)</f>
        <v>43221</v>
      </c>
    </row>
    <row r="140" spans="1:6" x14ac:dyDescent="0.25">
      <c r="A140" s="2">
        <v>43225</v>
      </c>
      <c r="B140" s="7">
        <v>20.52</v>
      </c>
      <c r="C140" s="1" t="s">
        <v>6</v>
      </c>
      <c r="D140" s="1" t="s">
        <v>1</v>
      </c>
      <c r="E140" s="1" t="s">
        <v>26</v>
      </c>
      <c r="F140" s="9">
        <f>DATE(YEAR(Table1[[#This Row],[Date]]), MONTH(Table1[[#This Row],[Date]]), 1)</f>
        <v>43221</v>
      </c>
    </row>
    <row r="141" spans="1:6" x14ac:dyDescent="0.25">
      <c r="A141" s="2">
        <v>43226</v>
      </c>
      <c r="B141" s="7">
        <v>22.37</v>
      </c>
      <c r="C141" s="1" t="s">
        <v>6</v>
      </c>
      <c r="D141" s="1" t="s">
        <v>16</v>
      </c>
      <c r="E141" s="1" t="s">
        <v>26</v>
      </c>
      <c r="F141" s="9">
        <f>DATE(YEAR(Table1[[#This Row],[Date]]), MONTH(Table1[[#This Row],[Date]]), 1)</f>
        <v>43221</v>
      </c>
    </row>
    <row r="142" spans="1:6" x14ac:dyDescent="0.25">
      <c r="A142" s="2">
        <v>43226</v>
      </c>
      <c r="B142" s="7">
        <v>117.69</v>
      </c>
      <c r="C142" s="1" t="s">
        <v>6</v>
      </c>
      <c r="D142" s="1" t="s">
        <v>39</v>
      </c>
      <c r="E142" s="1" t="s">
        <v>26</v>
      </c>
      <c r="F142" s="9">
        <f>DATE(YEAR(Table1[[#This Row],[Date]]), MONTH(Table1[[#This Row],[Date]]), 1)</f>
        <v>43221</v>
      </c>
    </row>
    <row r="143" spans="1:6" x14ac:dyDescent="0.25">
      <c r="A143" s="2">
        <v>43229</v>
      </c>
      <c r="B143" s="7">
        <v>10.69</v>
      </c>
      <c r="C143" s="1" t="s">
        <v>6</v>
      </c>
      <c r="D143" s="1" t="s">
        <v>20</v>
      </c>
      <c r="E143" s="1" t="s">
        <v>26</v>
      </c>
      <c r="F143" s="9">
        <f>DATE(YEAR(Table1[[#This Row],[Date]]), MONTH(Table1[[#This Row],[Date]]), 1)</f>
        <v>43221</v>
      </c>
    </row>
    <row r="144" spans="1:6" x14ac:dyDescent="0.25">
      <c r="A144" s="2">
        <v>43229</v>
      </c>
      <c r="B144" s="7">
        <v>30</v>
      </c>
      <c r="C144" s="1" t="s">
        <v>6</v>
      </c>
      <c r="D144" s="1" t="s">
        <v>22</v>
      </c>
      <c r="E144" s="1" t="s">
        <v>32</v>
      </c>
      <c r="F144" s="9">
        <f>DATE(YEAR(Table1[[#This Row],[Date]]), MONTH(Table1[[#This Row],[Date]]), 1)</f>
        <v>43221</v>
      </c>
    </row>
    <row r="145" spans="1:6" x14ac:dyDescent="0.25">
      <c r="A145" s="2">
        <v>43230</v>
      </c>
      <c r="B145" s="7">
        <v>111.18</v>
      </c>
      <c r="C145" s="1" t="s">
        <v>6</v>
      </c>
      <c r="D145" s="1" t="s">
        <v>17</v>
      </c>
      <c r="E145" s="1" t="s">
        <v>32</v>
      </c>
      <c r="F145" s="9">
        <f>DATE(YEAR(Table1[[#This Row],[Date]]), MONTH(Table1[[#This Row],[Date]]), 1)</f>
        <v>43221</v>
      </c>
    </row>
    <row r="146" spans="1:6" x14ac:dyDescent="0.25">
      <c r="A146" s="2">
        <v>43231</v>
      </c>
      <c r="B146" s="7">
        <v>57.32</v>
      </c>
      <c r="C146" s="1" t="s">
        <v>6</v>
      </c>
      <c r="D146" s="1" t="s">
        <v>14</v>
      </c>
      <c r="E146" s="1" t="s">
        <v>26</v>
      </c>
      <c r="F146" s="9">
        <f>DATE(YEAR(Table1[[#This Row],[Date]]), MONTH(Table1[[#This Row],[Date]]), 1)</f>
        <v>43221</v>
      </c>
    </row>
    <row r="147" spans="1:6" x14ac:dyDescent="0.25">
      <c r="A147" s="2">
        <v>43231</v>
      </c>
      <c r="B147" s="7">
        <v>2000</v>
      </c>
      <c r="C147" s="1" t="s">
        <v>5</v>
      </c>
      <c r="D147" s="1" t="s">
        <v>21</v>
      </c>
      <c r="E147" s="1" t="s">
        <v>25</v>
      </c>
      <c r="F147" s="9">
        <f>DATE(YEAR(Table1[[#This Row],[Date]]), MONTH(Table1[[#This Row],[Date]]), 1)</f>
        <v>43221</v>
      </c>
    </row>
    <row r="148" spans="1:6" x14ac:dyDescent="0.25">
      <c r="A148" s="2">
        <v>43231</v>
      </c>
      <c r="B148" s="7">
        <v>8000</v>
      </c>
      <c r="C148" s="1" t="s">
        <v>6</v>
      </c>
      <c r="D148" s="1" t="s">
        <v>16</v>
      </c>
      <c r="E148" s="1" t="s">
        <v>32</v>
      </c>
      <c r="F148" s="9">
        <f>DATE(YEAR(Table1[[#This Row],[Date]]), MONTH(Table1[[#This Row],[Date]]), 1)</f>
        <v>43221</v>
      </c>
    </row>
    <row r="149" spans="1:6" x14ac:dyDescent="0.25">
      <c r="A149" s="2">
        <v>43232</v>
      </c>
      <c r="B149" s="7">
        <v>27.77</v>
      </c>
      <c r="C149" s="1" t="s">
        <v>6</v>
      </c>
      <c r="D149" s="1" t="s">
        <v>7</v>
      </c>
      <c r="E149" s="1" t="s">
        <v>26</v>
      </c>
      <c r="F149" s="9">
        <f>DATE(YEAR(Table1[[#This Row],[Date]]), MONTH(Table1[[#This Row],[Date]]), 1)</f>
        <v>43221</v>
      </c>
    </row>
    <row r="150" spans="1:6" x14ac:dyDescent="0.25">
      <c r="A150" s="2">
        <v>43232</v>
      </c>
      <c r="B150" s="7">
        <v>33.299999999999997</v>
      </c>
      <c r="C150" s="1" t="s">
        <v>6</v>
      </c>
      <c r="D150" s="1" t="s">
        <v>13</v>
      </c>
      <c r="E150" s="1" t="s">
        <v>26</v>
      </c>
      <c r="F150" s="9">
        <f>DATE(YEAR(Table1[[#This Row],[Date]]), MONTH(Table1[[#This Row],[Date]]), 1)</f>
        <v>43221</v>
      </c>
    </row>
    <row r="151" spans="1:6" x14ac:dyDescent="0.25">
      <c r="A151" s="2">
        <v>43232</v>
      </c>
      <c r="B151" s="7">
        <v>78</v>
      </c>
      <c r="C151" s="1" t="s">
        <v>6</v>
      </c>
      <c r="D151" s="1" t="s">
        <v>12</v>
      </c>
      <c r="E151" s="1" t="s">
        <v>26</v>
      </c>
      <c r="F151" s="9">
        <f>DATE(YEAR(Table1[[#This Row],[Date]]), MONTH(Table1[[#This Row],[Date]]), 1)</f>
        <v>43221</v>
      </c>
    </row>
    <row r="152" spans="1:6" x14ac:dyDescent="0.25">
      <c r="A152" s="2">
        <v>43234</v>
      </c>
      <c r="B152" s="7">
        <v>67.63</v>
      </c>
      <c r="C152" s="1" t="s">
        <v>6</v>
      </c>
      <c r="D152" s="1" t="s">
        <v>14</v>
      </c>
      <c r="E152" s="1" t="s">
        <v>27</v>
      </c>
      <c r="F152" s="9">
        <f>DATE(YEAR(Table1[[#This Row],[Date]]), MONTH(Table1[[#This Row],[Date]]), 1)</f>
        <v>43221</v>
      </c>
    </row>
    <row r="153" spans="1:6" x14ac:dyDescent="0.25">
      <c r="A153" s="2">
        <v>43235</v>
      </c>
      <c r="B153" s="7">
        <v>60</v>
      </c>
      <c r="C153" s="1" t="s">
        <v>6</v>
      </c>
      <c r="D153" s="1" t="s">
        <v>22</v>
      </c>
      <c r="E153" s="1" t="s">
        <v>32</v>
      </c>
      <c r="F153" s="9">
        <f>DATE(YEAR(Table1[[#This Row],[Date]]), MONTH(Table1[[#This Row],[Date]]), 1)</f>
        <v>43221</v>
      </c>
    </row>
    <row r="154" spans="1:6" x14ac:dyDescent="0.25">
      <c r="A154" s="2">
        <v>43237</v>
      </c>
      <c r="B154" s="7">
        <v>29</v>
      </c>
      <c r="C154" s="1" t="s">
        <v>6</v>
      </c>
      <c r="D154" s="1" t="s">
        <v>15</v>
      </c>
      <c r="E154" s="1" t="s">
        <v>27</v>
      </c>
      <c r="F154" s="9">
        <f>DATE(YEAR(Table1[[#This Row],[Date]]), MONTH(Table1[[#This Row],[Date]]), 1)</f>
        <v>43221</v>
      </c>
    </row>
    <row r="155" spans="1:6" x14ac:dyDescent="0.25">
      <c r="A155" s="2">
        <v>43237</v>
      </c>
      <c r="B155" s="7">
        <v>35</v>
      </c>
      <c r="C155" s="1" t="s">
        <v>6</v>
      </c>
      <c r="D155" s="1" t="s">
        <v>22</v>
      </c>
      <c r="E155" s="1" t="s">
        <v>32</v>
      </c>
      <c r="F155" s="9">
        <f>DATE(YEAR(Table1[[#This Row],[Date]]), MONTH(Table1[[#This Row],[Date]]), 1)</f>
        <v>43221</v>
      </c>
    </row>
    <row r="156" spans="1:6" x14ac:dyDescent="0.25">
      <c r="A156" s="2">
        <v>43238</v>
      </c>
      <c r="B156" s="7">
        <v>75</v>
      </c>
      <c r="C156" s="1" t="s">
        <v>6</v>
      </c>
      <c r="D156" s="1" t="s">
        <v>8</v>
      </c>
      <c r="E156" s="1" t="s">
        <v>32</v>
      </c>
      <c r="F156" s="9">
        <f>DATE(YEAR(Table1[[#This Row],[Date]]), MONTH(Table1[[#This Row],[Date]]), 1)</f>
        <v>43221</v>
      </c>
    </row>
    <row r="157" spans="1:6" x14ac:dyDescent="0.25">
      <c r="A157" s="2">
        <v>43238</v>
      </c>
      <c r="B157" s="7">
        <v>6.41</v>
      </c>
      <c r="C157" s="1" t="s">
        <v>6</v>
      </c>
      <c r="D157" s="1" t="s">
        <v>39</v>
      </c>
      <c r="E157" s="1" t="s">
        <v>26</v>
      </c>
      <c r="F157" s="9">
        <f>DATE(YEAR(Table1[[#This Row],[Date]]), MONTH(Table1[[#This Row],[Date]]), 1)</f>
        <v>43221</v>
      </c>
    </row>
    <row r="158" spans="1:6" x14ac:dyDescent="0.25">
      <c r="A158" s="2">
        <v>43239</v>
      </c>
      <c r="B158" s="7">
        <v>31</v>
      </c>
      <c r="C158" s="1" t="s">
        <v>6</v>
      </c>
      <c r="D158" s="1" t="s">
        <v>14</v>
      </c>
      <c r="E158" s="1" t="s">
        <v>27</v>
      </c>
      <c r="F158" s="9">
        <f>DATE(YEAR(Table1[[#This Row],[Date]]), MONTH(Table1[[#This Row],[Date]]), 1)</f>
        <v>43221</v>
      </c>
    </row>
    <row r="159" spans="1:6" x14ac:dyDescent="0.25">
      <c r="A159" s="2">
        <v>43239</v>
      </c>
      <c r="B159" s="7">
        <v>23.26</v>
      </c>
      <c r="C159" s="1" t="s">
        <v>6</v>
      </c>
      <c r="D159" s="1" t="s">
        <v>12</v>
      </c>
      <c r="E159" s="1" t="s">
        <v>27</v>
      </c>
      <c r="F159" s="9">
        <f>DATE(YEAR(Table1[[#This Row],[Date]]), MONTH(Table1[[#This Row],[Date]]), 1)</f>
        <v>43221</v>
      </c>
    </row>
    <row r="160" spans="1:6" x14ac:dyDescent="0.25">
      <c r="A160" s="2">
        <v>43241</v>
      </c>
      <c r="B160" s="7">
        <v>26.04</v>
      </c>
      <c r="C160" s="1" t="s">
        <v>6</v>
      </c>
      <c r="D160" s="1" t="s">
        <v>12</v>
      </c>
      <c r="E160" s="1" t="s">
        <v>27</v>
      </c>
      <c r="F160" s="9">
        <f>DATE(YEAR(Table1[[#This Row],[Date]]), MONTH(Table1[[#This Row],[Date]]), 1)</f>
        <v>43221</v>
      </c>
    </row>
    <row r="161" spans="1:6" x14ac:dyDescent="0.25">
      <c r="A161" s="2">
        <v>43241</v>
      </c>
      <c r="B161" s="7">
        <v>32.5</v>
      </c>
      <c r="C161" s="1" t="s">
        <v>6</v>
      </c>
      <c r="D161" s="1" t="s">
        <v>39</v>
      </c>
      <c r="E161" s="1" t="s">
        <v>26</v>
      </c>
      <c r="F161" s="9">
        <f>DATE(YEAR(Table1[[#This Row],[Date]]), MONTH(Table1[[#This Row],[Date]]), 1)</f>
        <v>43221</v>
      </c>
    </row>
    <row r="162" spans="1:6" x14ac:dyDescent="0.25">
      <c r="A162" s="2">
        <v>43244</v>
      </c>
      <c r="B162" s="7">
        <v>39.44</v>
      </c>
      <c r="C162" s="1" t="s">
        <v>6</v>
      </c>
      <c r="D162" s="1" t="s">
        <v>13</v>
      </c>
      <c r="E162" s="1" t="s">
        <v>27</v>
      </c>
      <c r="F162" s="9">
        <f>DATE(YEAR(Table1[[#This Row],[Date]]), MONTH(Table1[[#This Row],[Date]]), 1)</f>
        <v>43221</v>
      </c>
    </row>
    <row r="163" spans="1:6" x14ac:dyDescent="0.25">
      <c r="A163" s="2">
        <v>43245</v>
      </c>
      <c r="B163" s="7">
        <v>74.989999999999995</v>
      </c>
      <c r="C163" s="1" t="s">
        <v>6</v>
      </c>
      <c r="D163" s="1" t="s">
        <v>2</v>
      </c>
      <c r="E163" s="1" t="s">
        <v>32</v>
      </c>
      <c r="F163" s="9">
        <f>DATE(YEAR(Table1[[#This Row],[Date]]), MONTH(Table1[[#This Row],[Date]]), 1)</f>
        <v>43221</v>
      </c>
    </row>
    <row r="164" spans="1:6" x14ac:dyDescent="0.25">
      <c r="A164" s="2">
        <v>43245</v>
      </c>
      <c r="B164" s="7">
        <v>2000</v>
      </c>
      <c r="C164" s="1" t="s">
        <v>5</v>
      </c>
      <c r="D164" s="1" t="s">
        <v>21</v>
      </c>
      <c r="E164" s="1" t="s">
        <v>25</v>
      </c>
      <c r="F164" s="9">
        <f>DATE(YEAR(Table1[[#This Row],[Date]]), MONTH(Table1[[#This Row],[Date]]), 1)</f>
        <v>43221</v>
      </c>
    </row>
    <row r="165" spans="1:6" x14ac:dyDescent="0.25">
      <c r="A165" s="2">
        <v>43248</v>
      </c>
      <c r="B165" s="7">
        <v>9.6199999999999992</v>
      </c>
      <c r="C165" s="1" t="s">
        <v>6</v>
      </c>
      <c r="D165" s="1" t="s">
        <v>11</v>
      </c>
      <c r="E165" s="1" t="s">
        <v>27</v>
      </c>
      <c r="F165" s="9">
        <f>DATE(YEAR(Table1[[#This Row],[Date]]), MONTH(Table1[[#This Row],[Date]]), 1)</f>
        <v>43221</v>
      </c>
    </row>
    <row r="166" spans="1:6" x14ac:dyDescent="0.25">
      <c r="A166" s="2">
        <v>43248</v>
      </c>
      <c r="B166" s="7">
        <v>91.03</v>
      </c>
      <c r="C166" s="1" t="s">
        <v>6</v>
      </c>
      <c r="D166" s="1" t="s">
        <v>14</v>
      </c>
      <c r="E166" s="1" t="s">
        <v>27</v>
      </c>
      <c r="F166" s="9">
        <f>DATE(YEAR(Table1[[#This Row],[Date]]), MONTH(Table1[[#This Row],[Date]]), 1)</f>
        <v>43221</v>
      </c>
    </row>
    <row r="167" spans="1:6" x14ac:dyDescent="0.25">
      <c r="A167" s="2">
        <v>43249</v>
      </c>
      <c r="B167" s="7">
        <v>20</v>
      </c>
      <c r="C167" s="1" t="s">
        <v>6</v>
      </c>
      <c r="D167" s="1" t="s">
        <v>19</v>
      </c>
      <c r="E167" s="1" t="s">
        <v>27</v>
      </c>
      <c r="F167" s="9">
        <f>DATE(YEAR(Table1[[#This Row],[Date]]), MONTH(Table1[[#This Row],[Date]]), 1)</f>
        <v>43221</v>
      </c>
    </row>
    <row r="168" spans="1:6" x14ac:dyDescent="0.25">
      <c r="A168" s="2">
        <v>43249</v>
      </c>
      <c r="B168" s="7">
        <v>6.25</v>
      </c>
      <c r="C168" s="1" t="s">
        <v>6</v>
      </c>
      <c r="D168" s="1" t="s">
        <v>19</v>
      </c>
      <c r="E168" s="1" t="s">
        <v>27</v>
      </c>
      <c r="F168" s="9">
        <f>DATE(YEAR(Table1[[#This Row],[Date]]), MONTH(Table1[[#This Row],[Date]]), 1)</f>
        <v>43221</v>
      </c>
    </row>
    <row r="169" spans="1:6" x14ac:dyDescent="0.25">
      <c r="A169" s="2">
        <v>43252</v>
      </c>
      <c r="B169" s="7">
        <v>38.630000000000003</v>
      </c>
      <c r="C169" s="1" t="s">
        <v>6</v>
      </c>
      <c r="D169" s="1" t="s">
        <v>13</v>
      </c>
      <c r="E169" s="1" t="s">
        <v>26</v>
      </c>
      <c r="F169" s="9">
        <f>DATE(YEAR(Table1[[#This Row],[Date]]), MONTH(Table1[[#This Row],[Date]]), 1)</f>
        <v>43252</v>
      </c>
    </row>
    <row r="170" spans="1:6" x14ac:dyDescent="0.25">
      <c r="A170" s="2">
        <v>43252</v>
      </c>
      <c r="B170" s="7">
        <v>6.11</v>
      </c>
      <c r="C170" s="1" t="s">
        <v>6</v>
      </c>
      <c r="D170" s="1" t="s">
        <v>14</v>
      </c>
      <c r="E170" s="1" t="s">
        <v>26</v>
      </c>
      <c r="F170" s="9">
        <f>DATE(YEAR(Table1[[#This Row],[Date]]), MONTH(Table1[[#This Row],[Date]]), 1)</f>
        <v>43252</v>
      </c>
    </row>
    <row r="171" spans="1:6" x14ac:dyDescent="0.25">
      <c r="A171" s="2">
        <v>43252</v>
      </c>
      <c r="B171" s="7">
        <v>13.13</v>
      </c>
      <c r="C171" s="1" t="s">
        <v>6</v>
      </c>
      <c r="D171" s="1" t="s">
        <v>39</v>
      </c>
      <c r="E171" s="1" t="s">
        <v>26</v>
      </c>
      <c r="F171" s="9">
        <f>DATE(YEAR(Table1[[#This Row],[Date]]), MONTH(Table1[[#This Row],[Date]]), 1)</f>
        <v>43252</v>
      </c>
    </row>
    <row r="172" spans="1:6" x14ac:dyDescent="0.25">
      <c r="A172" s="2">
        <v>43254</v>
      </c>
      <c r="B172" s="7">
        <v>65.81</v>
      </c>
      <c r="C172" s="1" t="s">
        <v>6</v>
      </c>
      <c r="D172" s="1" t="s">
        <v>12</v>
      </c>
      <c r="E172" s="1" t="s">
        <v>26</v>
      </c>
      <c r="F172" s="9">
        <f>DATE(YEAR(Table1[[#This Row],[Date]]), MONTH(Table1[[#This Row],[Date]]), 1)</f>
        <v>43252</v>
      </c>
    </row>
    <row r="173" spans="1:6" x14ac:dyDescent="0.25">
      <c r="A173" s="2">
        <v>43255</v>
      </c>
      <c r="B173" s="7">
        <v>24.12</v>
      </c>
      <c r="C173" s="1" t="s">
        <v>6</v>
      </c>
      <c r="D173" s="1" t="s">
        <v>14</v>
      </c>
      <c r="E173" s="1" t="s">
        <v>26</v>
      </c>
      <c r="F173" s="9">
        <f>DATE(YEAR(Table1[[#This Row],[Date]]), MONTH(Table1[[#This Row],[Date]]), 1)</f>
        <v>43252</v>
      </c>
    </row>
    <row r="174" spans="1:6" x14ac:dyDescent="0.25">
      <c r="A174" s="2">
        <v>43255</v>
      </c>
      <c r="B174" s="7">
        <v>1247.44</v>
      </c>
      <c r="C174" s="1" t="s">
        <v>6</v>
      </c>
      <c r="D174" s="1" t="s">
        <v>18</v>
      </c>
      <c r="E174" s="1" t="s">
        <v>32</v>
      </c>
      <c r="F174" s="9">
        <f>DATE(YEAR(Table1[[#This Row],[Date]]), MONTH(Table1[[#This Row],[Date]]), 1)</f>
        <v>43252</v>
      </c>
    </row>
    <row r="175" spans="1:6" x14ac:dyDescent="0.25">
      <c r="A175" s="2">
        <v>43255</v>
      </c>
      <c r="B175" s="7">
        <v>11.76</v>
      </c>
      <c r="C175" s="1" t="s">
        <v>6</v>
      </c>
      <c r="D175" s="1" t="s">
        <v>19</v>
      </c>
      <c r="E175" s="1" t="s">
        <v>26</v>
      </c>
      <c r="F175" s="9">
        <f>DATE(YEAR(Table1[[#This Row],[Date]]), MONTH(Table1[[#This Row],[Date]]), 1)</f>
        <v>43252</v>
      </c>
    </row>
    <row r="176" spans="1:6" x14ac:dyDescent="0.25">
      <c r="A176" s="2">
        <v>43257</v>
      </c>
      <c r="B176" s="7">
        <v>4</v>
      </c>
      <c r="C176" s="1" t="s">
        <v>6</v>
      </c>
      <c r="D176" s="1" t="s">
        <v>9</v>
      </c>
      <c r="E176" s="1" t="s">
        <v>26</v>
      </c>
      <c r="F176" s="9">
        <f>DATE(YEAR(Table1[[#This Row],[Date]]), MONTH(Table1[[#This Row],[Date]]), 1)</f>
        <v>43252</v>
      </c>
    </row>
    <row r="177" spans="1:6" x14ac:dyDescent="0.25">
      <c r="A177" s="2">
        <v>43259</v>
      </c>
      <c r="B177" s="7">
        <v>2000</v>
      </c>
      <c r="C177" s="1" t="s">
        <v>5</v>
      </c>
      <c r="D177" s="1" t="s">
        <v>21</v>
      </c>
      <c r="E177" s="1" t="s">
        <v>25</v>
      </c>
      <c r="F177" s="9">
        <f>DATE(YEAR(Table1[[#This Row],[Date]]), MONTH(Table1[[#This Row],[Date]]), 1)</f>
        <v>43252</v>
      </c>
    </row>
    <row r="178" spans="1:6" x14ac:dyDescent="0.25">
      <c r="A178" s="2">
        <v>43259</v>
      </c>
      <c r="B178" s="7">
        <v>30</v>
      </c>
      <c r="C178" s="1" t="s">
        <v>6</v>
      </c>
      <c r="D178" s="1" t="s">
        <v>22</v>
      </c>
      <c r="E178" s="1" t="s">
        <v>32</v>
      </c>
      <c r="F178" s="9">
        <f>DATE(YEAR(Table1[[#This Row],[Date]]), MONTH(Table1[[#This Row],[Date]]), 1)</f>
        <v>43252</v>
      </c>
    </row>
    <row r="179" spans="1:6" x14ac:dyDescent="0.25">
      <c r="A179" s="2">
        <v>43260</v>
      </c>
      <c r="B179" s="7">
        <v>16.18</v>
      </c>
      <c r="C179" s="1" t="s">
        <v>6</v>
      </c>
      <c r="D179" s="1" t="s">
        <v>1</v>
      </c>
      <c r="E179" s="1" t="s">
        <v>26</v>
      </c>
      <c r="F179" s="9">
        <f>DATE(YEAR(Table1[[#This Row],[Date]]), MONTH(Table1[[#This Row],[Date]]), 1)</f>
        <v>43252</v>
      </c>
    </row>
    <row r="180" spans="1:6" x14ac:dyDescent="0.25">
      <c r="A180" s="2">
        <v>43260</v>
      </c>
      <c r="B180" s="7">
        <v>9.56</v>
      </c>
      <c r="C180" s="1" t="s">
        <v>6</v>
      </c>
      <c r="D180" s="1" t="s">
        <v>14</v>
      </c>
      <c r="E180" s="1" t="s">
        <v>26</v>
      </c>
      <c r="F180" s="9">
        <f>DATE(YEAR(Table1[[#This Row],[Date]]), MONTH(Table1[[#This Row],[Date]]), 1)</f>
        <v>43252</v>
      </c>
    </row>
    <row r="181" spans="1:6" x14ac:dyDescent="0.25">
      <c r="A181" s="2">
        <v>43260</v>
      </c>
      <c r="B181" s="7">
        <v>10.69</v>
      </c>
      <c r="C181" s="1" t="s">
        <v>6</v>
      </c>
      <c r="D181" s="1" t="s">
        <v>20</v>
      </c>
      <c r="E181" s="1" t="s">
        <v>26</v>
      </c>
      <c r="F181" s="9">
        <f>DATE(YEAR(Table1[[#This Row],[Date]]), MONTH(Table1[[#This Row],[Date]]), 1)</f>
        <v>43252</v>
      </c>
    </row>
    <row r="182" spans="1:6" x14ac:dyDescent="0.25">
      <c r="A182" s="2">
        <v>43261</v>
      </c>
      <c r="B182" s="7">
        <v>46.01</v>
      </c>
      <c r="C182" s="1" t="s">
        <v>6</v>
      </c>
      <c r="D182" s="1" t="s">
        <v>14</v>
      </c>
      <c r="E182" s="1" t="s">
        <v>26</v>
      </c>
      <c r="F182" s="9">
        <f>DATE(YEAR(Table1[[#This Row],[Date]]), MONTH(Table1[[#This Row],[Date]]), 1)</f>
        <v>43252</v>
      </c>
    </row>
    <row r="183" spans="1:6" x14ac:dyDescent="0.25">
      <c r="A183" s="2">
        <v>43263</v>
      </c>
      <c r="B183" s="7">
        <v>12.55</v>
      </c>
      <c r="C183" s="1" t="s">
        <v>6</v>
      </c>
      <c r="D183" s="1" t="s">
        <v>14</v>
      </c>
      <c r="E183" s="1" t="s">
        <v>26</v>
      </c>
      <c r="F183" s="9">
        <f>DATE(YEAR(Table1[[#This Row],[Date]]), MONTH(Table1[[#This Row],[Date]]), 1)</f>
        <v>43252</v>
      </c>
    </row>
    <row r="184" spans="1:6" x14ac:dyDescent="0.25">
      <c r="A184" s="2">
        <v>43263</v>
      </c>
      <c r="B184" s="7">
        <v>89.46</v>
      </c>
      <c r="C184" s="1" t="s">
        <v>6</v>
      </c>
      <c r="D184" s="1" t="s">
        <v>17</v>
      </c>
      <c r="E184" s="1" t="s">
        <v>32</v>
      </c>
      <c r="F184" s="9">
        <f>DATE(YEAR(Table1[[#This Row],[Date]]), MONTH(Table1[[#This Row],[Date]]), 1)</f>
        <v>43252</v>
      </c>
    </row>
    <row r="185" spans="1:6" x14ac:dyDescent="0.25">
      <c r="A185" s="2">
        <v>43265</v>
      </c>
      <c r="B185" s="7">
        <v>7.02</v>
      </c>
      <c r="C185" s="1" t="s">
        <v>6</v>
      </c>
      <c r="D185" s="1" t="s">
        <v>14</v>
      </c>
      <c r="E185" s="1" t="s">
        <v>26</v>
      </c>
      <c r="F185" s="9">
        <f>DATE(YEAR(Table1[[#This Row],[Date]]), MONTH(Table1[[#This Row],[Date]]), 1)</f>
        <v>43252</v>
      </c>
    </row>
    <row r="186" spans="1:6" x14ac:dyDescent="0.25">
      <c r="A186" s="2">
        <v>43266</v>
      </c>
      <c r="B186" s="7">
        <v>60</v>
      </c>
      <c r="C186" s="1" t="s">
        <v>6</v>
      </c>
      <c r="D186" s="1" t="s">
        <v>22</v>
      </c>
      <c r="E186" s="1" t="s">
        <v>32</v>
      </c>
      <c r="F186" s="9">
        <f>DATE(YEAR(Table1[[#This Row],[Date]]), MONTH(Table1[[#This Row],[Date]]), 1)</f>
        <v>43252</v>
      </c>
    </row>
    <row r="187" spans="1:6" x14ac:dyDescent="0.25">
      <c r="A187" s="2">
        <v>43267</v>
      </c>
      <c r="B187" s="7">
        <v>3</v>
      </c>
      <c r="C187" s="1" t="s">
        <v>6</v>
      </c>
      <c r="D187" s="1" t="s">
        <v>9</v>
      </c>
      <c r="E187" s="1" t="s">
        <v>26</v>
      </c>
      <c r="F187" s="9">
        <f>DATE(YEAR(Table1[[#This Row],[Date]]), MONTH(Table1[[#This Row],[Date]]), 1)</f>
        <v>43252</v>
      </c>
    </row>
    <row r="188" spans="1:6" x14ac:dyDescent="0.25">
      <c r="A188" s="2">
        <v>43267</v>
      </c>
      <c r="B188" s="7">
        <v>22.66</v>
      </c>
      <c r="C188" s="1" t="s">
        <v>6</v>
      </c>
      <c r="D188" s="1" t="s">
        <v>1</v>
      </c>
      <c r="E188" s="1" t="s">
        <v>26</v>
      </c>
      <c r="F188" s="9">
        <f>DATE(YEAR(Table1[[#This Row],[Date]]), MONTH(Table1[[#This Row],[Date]]), 1)</f>
        <v>43252</v>
      </c>
    </row>
    <row r="189" spans="1:6" x14ac:dyDescent="0.25">
      <c r="A189" s="2">
        <v>43267</v>
      </c>
      <c r="B189" s="7">
        <v>13.9</v>
      </c>
      <c r="C189" s="1" t="s">
        <v>6</v>
      </c>
      <c r="D189" s="1" t="s">
        <v>14</v>
      </c>
      <c r="E189" s="1" t="s">
        <v>26</v>
      </c>
      <c r="F189" s="9">
        <f>DATE(YEAR(Table1[[#This Row],[Date]]), MONTH(Table1[[#This Row],[Date]]), 1)</f>
        <v>43252</v>
      </c>
    </row>
    <row r="190" spans="1:6" x14ac:dyDescent="0.25">
      <c r="A190" s="2">
        <v>43269</v>
      </c>
      <c r="B190" s="7">
        <v>35</v>
      </c>
      <c r="C190" s="1" t="s">
        <v>6</v>
      </c>
      <c r="D190" s="1" t="s">
        <v>22</v>
      </c>
      <c r="E190" s="1" t="s">
        <v>32</v>
      </c>
      <c r="F190" s="9">
        <f>DATE(YEAR(Table1[[#This Row],[Date]]), MONTH(Table1[[#This Row],[Date]]), 1)</f>
        <v>43252</v>
      </c>
    </row>
    <row r="191" spans="1:6" x14ac:dyDescent="0.25">
      <c r="A191" s="2">
        <v>43270</v>
      </c>
      <c r="B191" s="7">
        <v>38.520000000000003</v>
      </c>
      <c r="C191" s="1" t="s">
        <v>6</v>
      </c>
      <c r="D191" s="1" t="s">
        <v>13</v>
      </c>
      <c r="E191" s="1" t="s">
        <v>26</v>
      </c>
      <c r="F191" s="9">
        <f>DATE(YEAR(Table1[[#This Row],[Date]]), MONTH(Table1[[#This Row],[Date]]), 1)</f>
        <v>43252</v>
      </c>
    </row>
    <row r="192" spans="1:6" x14ac:dyDescent="0.25">
      <c r="A192" s="2">
        <v>43270</v>
      </c>
      <c r="B192" s="7">
        <v>2.69</v>
      </c>
      <c r="C192" s="1" t="s">
        <v>6</v>
      </c>
      <c r="D192" s="1" t="s">
        <v>14</v>
      </c>
      <c r="E192" s="1" t="s">
        <v>26</v>
      </c>
      <c r="F192" s="9">
        <f>DATE(YEAR(Table1[[#This Row],[Date]]), MONTH(Table1[[#This Row],[Date]]), 1)</f>
        <v>43252</v>
      </c>
    </row>
    <row r="193" spans="1:6" x14ac:dyDescent="0.25">
      <c r="A193" s="2">
        <v>43271</v>
      </c>
      <c r="B193" s="7">
        <v>75</v>
      </c>
      <c r="C193" s="1" t="s">
        <v>6</v>
      </c>
      <c r="D193" s="1" t="s">
        <v>8</v>
      </c>
      <c r="E193" s="1" t="s">
        <v>32</v>
      </c>
      <c r="F193" s="9">
        <f>DATE(YEAR(Table1[[#This Row],[Date]]), MONTH(Table1[[#This Row],[Date]]), 1)</f>
        <v>43252</v>
      </c>
    </row>
    <row r="194" spans="1:6" x14ac:dyDescent="0.25">
      <c r="A194" s="2">
        <v>43271</v>
      </c>
      <c r="B194" s="7">
        <v>30</v>
      </c>
      <c r="C194" s="1" t="s">
        <v>6</v>
      </c>
      <c r="D194" s="1" t="s">
        <v>15</v>
      </c>
      <c r="E194" s="1" t="s">
        <v>27</v>
      </c>
      <c r="F194" s="9">
        <f>DATE(YEAR(Table1[[#This Row],[Date]]), MONTH(Table1[[#This Row],[Date]]), 1)</f>
        <v>43252</v>
      </c>
    </row>
    <row r="195" spans="1:6" x14ac:dyDescent="0.25">
      <c r="A195" s="2">
        <v>43273</v>
      </c>
      <c r="B195" s="7">
        <v>2000</v>
      </c>
      <c r="C195" s="1" t="s">
        <v>5</v>
      </c>
      <c r="D195" s="1" t="s">
        <v>21</v>
      </c>
      <c r="E195" s="1" t="s">
        <v>25</v>
      </c>
      <c r="F195" s="9">
        <f>DATE(YEAR(Table1[[#This Row],[Date]]), MONTH(Table1[[#This Row],[Date]]), 1)</f>
        <v>43252</v>
      </c>
    </row>
    <row r="196" spans="1:6" x14ac:dyDescent="0.25">
      <c r="A196" s="2">
        <v>43274</v>
      </c>
      <c r="B196" s="7">
        <v>8.5</v>
      </c>
      <c r="C196" s="1" t="s">
        <v>6</v>
      </c>
      <c r="D196" s="1" t="s">
        <v>12</v>
      </c>
      <c r="E196" s="1" t="s">
        <v>27</v>
      </c>
      <c r="F196" s="9">
        <f>DATE(YEAR(Table1[[#This Row],[Date]]), MONTH(Table1[[#This Row],[Date]]), 1)</f>
        <v>43252</v>
      </c>
    </row>
    <row r="197" spans="1:6" x14ac:dyDescent="0.25">
      <c r="A197" s="2">
        <v>43274</v>
      </c>
      <c r="B197" s="7">
        <v>74.97</v>
      </c>
      <c r="C197" s="1" t="s">
        <v>6</v>
      </c>
      <c r="D197" s="1" t="s">
        <v>39</v>
      </c>
      <c r="E197" s="1" t="s">
        <v>26</v>
      </c>
      <c r="F197" s="9">
        <f>DATE(YEAR(Table1[[#This Row],[Date]]), MONTH(Table1[[#This Row],[Date]]), 1)</f>
        <v>43252</v>
      </c>
    </row>
    <row r="198" spans="1:6" x14ac:dyDescent="0.25">
      <c r="A198" s="2">
        <v>43276</v>
      </c>
      <c r="B198" s="7">
        <v>74.989999999999995</v>
      </c>
      <c r="C198" s="1" t="s">
        <v>6</v>
      </c>
      <c r="D198" s="1" t="s">
        <v>2</v>
      </c>
      <c r="E198" s="1" t="s">
        <v>32</v>
      </c>
      <c r="F198" s="9">
        <f>DATE(YEAR(Table1[[#This Row],[Date]]), MONTH(Table1[[#This Row],[Date]]), 1)</f>
        <v>43252</v>
      </c>
    </row>
    <row r="199" spans="1:6" x14ac:dyDescent="0.25">
      <c r="A199" s="2">
        <v>43277</v>
      </c>
      <c r="B199" s="7">
        <v>9.6199999999999992</v>
      </c>
      <c r="C199" s="1" t="s">
        <v>6</v>
      </c>
      <c r="D199" s="1" t="s">
        <v>14</v>
      </c>
      <c r="E199" s="1" t="s">
        <v>27</v>
      </c>
      <c r="F199" s="9">
        <f>DATE(YEAR(Table1[[#This Row],[Date]]), MONTH(Table1[[#This Row],[Date]]), 1)</f>
        <v>43252</v>
      </c>
    </row>
    <row r="200" spans="1:6" x14ac:dyDescent="0.25">
      <c r="A200" s="2">
        <v>43278</v>
      </c>
      <c r="B200" s="7">
        <v>3.5</v>
      </c>
      <c r="C200" s="1" t="s">
        <v>6</v>
      </c>
      <c r="D200" s="1" t="s">
        <v>9</v>
      </c>
      <c r="E200" s="1" t="s">
        <v>27</v>
      </c>
      <c r="F200" s="9">
        <f>DATE(YEAR(Table1[[#This Row],[Date]]), MONTH(Table1[[#This Row],[Date]]), 1)</f>
        <v>43252</v>
      </c>
    </row>
    <row r="201" spans="1:6" x14ac:dyDescent="0.25">
      <c r="A201" s="2">
        <v>43278</v>
      </c>
      <c r="B201" s="7">
        <v>22.66</v>
      </c>
      <c r="C201" s="1" t="s">
        <v>6</v>
      </c>
      <c r="D201" s="1" t="s">
        <v>1</v>
      </c>
      <c r="E201" s="1" t="s">
        <v>26</v>
      </c>
      <c r="F201" s="9">
        <f>DATE(YEAR(Table1[[#This Row],[Date]]), MONTH(Table1[[#This Row],[Date]]), 1)</f>
        <v>43252</v>
      </c>
    </row>
    <row r="202" spans="1:6" x14ac:dyDescent="0.25">
      <c r="A202" s="2">
        <v>43279</v>
      </c>
      <c r="B202" s="7">
        <v>7.57</v>
      </c>
      <c r="C202" s="1" t="s">
        <v>6</v>
      </c>
      <c r="D202" s="1" t="s">
        <v>14</v>
      </c>
      <c r="E202" s="1" t="s">
        <v>27</v>
      </c>
      <c r="F202" s="9">
        <f>DATE(YEAR(Table1[[#This Row],[Date]]), MONTH(Table1[[#This Row],[Date]]), 1)</f>
        <v>43252</v>
      </c>
    </row>
    <row r="203" spans="1:6" x14ac:dyDescent="0.25">
      <c r="A203" s="2">
        <v>43282</v>
      </c>
      <c r="B203" s="7">
        <v>13.13</v>
      </c>
      <c r="C203" s="1" t="s">
        <v>6</v>
      </c>
      <c r="D203" s="1" t="s">
        <v>39</v>
      </c>
      <c r="E203" s="1" t="s">
        <v>26</v>
      </c>
      <c r="F203" s="9">
        <f>DATE(YEAR(Table1[[#This Row],[Date]]), MONTH(Table1[[#This Row],[Date]]), 1)</f>
        <v>43282</v>
      </c>
    </row>
    <row r="204" spans="1:6" x14ac:dyDescent="0.25">
      <c r="A204" s="2">
        <v>43283</v>
      </c>
      <c r="B204" s="7">
        <v>1247.44</v>
      </c>
      <c r="C204" s="1" t="s">
        <v>6</v>
      </c>
      <c r="D204" s="1" t="s">
        <v>18</v>
      </c>
      <c r="E204" s="1" t="s">
        <v>32</v>
      </c>
      <c r="F204" s="9">
        <f>DATE(YEAR(Table1[[#This Row],[Date]]), MONTH(Table1[[#This Row],[Date]]), 1)</f>
        <v>43282</v>
      </c>
    </row>
    <row r="205" spans="1:6" x14ac:dyDescent="0.25">
      <c r="A205" s="2">
        <v>43283</v>
      </c>
      <c r="B205" s="7">
        <v>25</v>
      </c>
      <c r="C205" s="1" t="s">
        <v>6</v>
      </c>
      <c r="D205" s="1" t="s">
        <v>19</v>
      </c>
      <c r="E205" s="1" t="s">
        <v>27</v>
      </c>
      <c r="F205" s="9">
        <f>DATE(YEAR(Table1[[#This Row],[Date]]), MONTH(Table1[[#This Row],[Date]]), 1)</f>
        <v>43282</v>
      </c>
    </row>
    <row r="206" spans="1:6" x14ac:dyDescent="0.25">
      <c r="A206" s="2">
        <v>43283</v>
      </c>
      <c r="B206" s="7">
        <v>36.44</v>
      </c>
      <c r="C206" s="1" t="s">
        <v>6</v>
      </c>
      <c r="D206" s="1" t="s">
        <v>12</v>
      </c>
      <c r="E206" s="1" t="s">
        <v>27</v>
      </c>
      <c r="F206" s="9">
        <f>DATE(YEAR(Table1[[#This Row],[Date]]), MONTH(Table1[[#This Row],[Date]]), 1)</f>
        <v>43282</v>
      </c>
    </row>
    <row r="207" spans="1:6" x14ac:dyDescent="0.25">
      <c r="A207" s="2">
        <v>43285</v>
      </c>
      <c r="B207" s="7">
        <v>34.479999999999997</v>
      </c>
      <c r="C207" s="1" t="s">
        <v>6</v>
      </c>
      <c r="D207" s="1" t="s">
        <v>13</v>
      </c>
      <c r="E207" s="1" t="s">
        <v>27</v>
      </c>
      <c r="F207" s="9">
        <f>DATE(YEAR(Table1[[#This Row],[Date]]), MONTH(Table1[[#This Row],[Date]]), 1)</f>
        <v>43282</v>
      </c>
    </row>
    <row r="208" spans="1:6" x14ac:dyDescent="0.25">
      <c r="A208" s="2">
        <v>43285</v>
      </c>
      <c r="B208" s="7">
        <v>11.76</v>
      </c>
      <c r="C208" s="1" t="s">
        <v>6</v>
      </c>
      <c r="D208" s="1" t="s">
        <v>19</v>
      </c>
      <c r="E208" s="1" t="s">
        <v>26</v>
      </c>
      <c r="F208" s="9">
        <f>DATE(YEAR(Table1[[#This Row],[Date]]), MONTH(Table1[[#This Row],[Date]]), 1)</f>
        <v>43282</v>
      </c>
    </row>
    <row r="209" spans="1:6" x14ac:dyDescent="0.25">
      <c r="A209" s="2">
        <v>43286</v>
      </c>
      <c r="B209" s="7">
        <v>44.25</v>
      </c>
      <c r="C209" s="1" t="s">
        <v>6</v>
      </c>
      <c r="D209" s="1" t="s">
        <v>14</v>
      </c>
      <c r="E209" s="1" t="s">
        <v>27</v>
      </c>
      <c r="F209" s="9">
        <f>DATE(YEAR(Table1[[#This Row],[Date]]), MONTH(Table1[[#This Row],[Date]]), 1)</f>
        <v>43282</v>
      </c>
    </row>
    <row r="210" spans="1:6" x14ac:dyDescent="0.25">
      <c r="A210" s="2">
        <v>43286</v>
      </c>
      <c r="B210" s="7">
        <v>212.32</v>
      </c>
      <c r="C210" s="1" t="s">
        <v>6</v>
      </c>
      <c r="D210" s="1" t="s">
        <v>39</v>
      </c>
      <c r="E210" s="1" t="s">
        <v>26</v>
      </c>
      <c r="F210" s="9">
        <f>DATE(YEAR(Table1[[#This Row],[Date]]), MONTH(Table1[[#This Row],[Date]]), 1)</f>
        <v>43282</v>
      </c>
    </row>
    <row r="211" spans="1:6" x14ac:dyDescent="0.25">
      <c r="A211" s="2">
        <v>43287</v>
      </c>
      <c r="B211" s="7">
        <v>6.41</v>
      </c>
      <c r="C211" s="1" t="s">
        <v>6</v>
      </c>
      <c r="D211" s="1" t="s">
        <v>19</v>
      </c>
      <c r="E211" s="1" t="s">
        <v>26</v>
      </c>
      <c r="F211" s="9">
        <f>DATE(YEAR(Table1[[#This Row],[Date]]), MONTH(Table1[[#This Row],[Date]]), 1)</f>
        <v>43282</v>
      </c>
    </row>
    <row r="212" spans="1:6" x14ac:dyDescent="0.25">
      <c r="A212" s="2">
        <v>43287</v>
      </c>
      <c r="B212" s="7">
        <v>2000</v>
      </c>
      <c r="C212" s="1" t="s">
        <v>5</v>
      </c>
      <c r="D212" s="1" t="s">
        <v>21</v>
      </c>
      <c r="E212" s="1" t="s">
        <v>25</v>
      </c>
      <c r="F212" s="9">
        <f>DATE(YEAR(Table1[[#This Row],[Date]]), MONTH(Table1[[#This Row],[Date]]), 1)</f>
        <v>43282</v>
      </c>
    </row>
    <row r="213" spans="1:6" x14ac:dyDescent="0.25">
      <c r="A213" s="2">
        <v>43290</v>
      </c>
      <c r="B213" s="7">
        <v>10.69</v>
      </c>
      <c r="C213" s="1" t="s">
        <v>6</v>
      </c>
      <c r="D213" s="1" t="s">
        <v>20</v>
      </c>
      <c r="E213" s="1" t="s">
        <v>26</v>
      </c>
      <c r="F213" s="9">
        <f>DATE(YEAR(Table1[[#This Row],[Date]]), MONTH(Table1[[#This Row],[Date]]), 1)</f>
        <v>43282</v>
      </c>
    </row>
    <row r="214" spans="1:6" x14ac:dyDescent="0.25">
      <c r="A214" s="2">
        <v>43291</v>
      </c>
      <c r="B214" s="7">
        <v>5.39</v>
      </c>
      <c r="C214" s="1" t="s">
        <v>6</v>
      </c>
      <c r="D214" s="1" t="s">
        <v>14</v>
      </c>
      <c r="E214" s="1" t="s">
        <v>27</v>
      </c>
      <c r="F214" s="9">
        <f>DATE(YEAR(Table1[[#This Row],[Date]]), MONTH(Table1[[#This Row],[Date]]), 1)</f>
        <v>43282</v>
      </c>
    </row>
    <row r="215" spans="1:6" x14ac:dyDescent="0.25">
      <c r="A215" s="2">
        <v>43291</v>
      </c>
      <c r="B215" s="7">
        <v>30</v>
      </c>
      <c r="C215" s="1" t="s">
        <v>6</v>
      </c>
      <c r="D215" s="1" t="s">
        <v>22</v>
      </c>
      <c r="E215" s="1" t="s">
        <v>32</v>
      </c>
      <c r="F215" s="9">
        <f>DATE(YEAR(Table1[[#This Row],[Date]]), MONTH(Table1[[#This Row],[Date]]), 1)</f>
        <v>43282</v>
      </c>
    </row>
    <row r="216" spans="1:6" x14ac:dyDescent="0.25">
      <c r="A216" s="2">
        <v>43292</v>
      </c>
      <c r="B216" s="7">
        <v>89.46</v>
      </c>
      <c r="C216" s="1" t="s">
        <v>6</v>
      </c>
      <c r="D216" s="1" t="s">
        <v>17</v>
      </c>
      <c r="E216" s="1" t="s">
        <v>32</v>
      </c>
      <c r="F216" s="9">
        <f>DATE(YEAR(Table1[[#This Row],[Date]]), MONTH(Table1[[#This Row],[Date]]), 1)</f>
        <v>43282</v>
      </c>
    </row>
    <row r="217" spans="1:6" x14ac:dyDescent="0.25">
      <c r="A217" s="2">
        <v>43295</v>
      </c>
      <c r="B217" s="7">
        <v>33.51</v>
      </c>
      <c r="C217" s="1" t="s">
        <v>6</v>
      </c>
      <c r="D217" s="1" t="s">
        <v>13</v>
      </c>
      <c r="E217" s="1" t="s">
        <v>27</v>
      </c>
      <c r="F217" s="9">
        <f>DATE(YEAR(Table1[[#This Row],[Date]]), MONTH(Table1[[#This Row],[Date]]), 1)</f>
        <v>43282</v>
      </c>
    </row>
    <row r="218" spans="1:6" x14ac:dyDescent="0.25">
      <c r="A218" s="2">
        <v>43296</v>
      </c>
      <c r="B218" s="7">
        <v>36.24</v>
      </c>
      <c r="C218" s="1" t="s">
        <v>6</v>
      </c>
      <c r="D218" s="1" t="s">
        <v>13</v>
      </c>
      <c r="E218" s="1" t="s">
        <v>26</v>
      </c>
      <c r="F218" s="9">
        <f>DATE(YEAR(Table1[[#This Row],[Date]]), MONTH(Table1[[#This Row],[Date]]), 1)</f>
        <v>43282</v>
      </c>
    </row>
    <row r="219" spans="1:6" x14ac:dyDescent="0.25">
      <c r="A219" s="2">
        <v>43298</v>
      </c>
      <c r="B219" s="7">
        <v>15.23</v>
      </c>
      <c r="C219" s="1" t="s">
        <v>6</v>
      </c>
      <c r="D219" s="1" t="s">
        <v>1</v>
      </c>
      <c r="E219" s="1" t="s">
        <v>27</v>
      </c>
      <c r="F219" s="9">
        <f>DATE(YEAR(Table1[[#This Row],[Date]]), MONTH(Table1[[#This Row],[Date]]), 1)</f>
        <v>43282</v>
      </c>
    </row>
    <row r="220" spans="1:6" x14ac:dyDescent="0.25">
      <c r="A220" s="2">
        <v>43298</v>
      </c>
      <c r="B220" s="7">
        <v>35</v>
      </c>
      <c r="C220" s="1" t="s">
        <v>6</v>
      </c>
      <c r="D220" s="1" t="s">
        <v>22</v>
      </c>
      <c r="E220" s="1" t="s">
        <v>32</v>
      </c>
      <c r="F220" s="9">
        <f>DATE(YEAR(Table1[[#This Row],[Date]]), MONTH(Table1[[#This Row],[Date]]), 1)</f>
        <v>43282</v>
      </c>
    </row>
    <row r="221" spans="1:6" x14ac:dyDescent="0.25">
      <c r="A221" s="2">
        <v>43298</v>
      </c>
      <c r="B221" s="7">
        <v>60</v>
      </c>
      <c r="C221" s="1" t="s">
        <v>6</v>
      </c>
      <c r="D221" s="1" t="s">
        <v>22</v>
      </c>
      <c r="E221" s="1" t="s">
        <v>32</v>
      </c>
      <c r="F221" s="9">
        <f>DATE(YEAR(Table1[[#This Row],[Date]]), MONTH(Table1[[#This Row],[Date]]), 1)</f>
        <v>43282</v>
      </c>
    </row>
    <row r="222" spans="1:6" x14ac:dyDescent="0.25">
      <c r="A222" s="2">
        <v>43299</v>
      </c>
      <c r="B222" s="7">
        <v>28.54</v>
      </c>
      <c r="C222" s="1" t="s">
        <v>6</v>
      </c>
      <c r="D222" s="1" t="s">
        <v>7</v>
      </c>
      <c r="E222" s="1" t="s">
        <v>26</v>
      </c>
      <c r="F222" s="9">
        <f>DATE(YEAR(Table1[[#This Row],[Date]]), MONTH(Table1[[#This Row],[Date]]), 1)</f>
        <v>43282</v>
      </c>
    </row>
    <row r="223" spans="1:6" x14ac:dyDescent="0.25">
      <c r="A223" s="2">
        <v>43299</v>
      </c>
      <c r="B223" s="7">
        <v>75</v>
      </c>
      <c r="C223" s="1" t="s">
        <v>6</v>
      </c>
      <c r="D223" s="1" t="s">
        <v>8</v>
      </c>
      <c r="E223" s="1" t="s">
        <v>32</v>
      </c>
      <c r="F223" s="9">
        <f>DATE(YEAR(Table1[[#This Row],[Date]]), MONTH(Table1[[#This Row],[Date]]), 1)</f>
        <v>43282</v>
      </c>
    </row>
    <row r="224" spans="1:6" x14ac:dyDescent="0.25">
      <c r="A224" s="2">
        <v>43301</v>
      </c>
      <c r="B224" s="7">
        <v>2000</v>
      </c>
      <c r="C224" s="1" t="s">
        <v>5</v>
      </c>
      <c r="D224" s="1" t="s">
        <v>21</v>
      </c>
      <c r="E224" s="1" t="s">
        <v>25</v>
      </c>
      <c r="F224" s="9">
        <f>DATE(YEAR(Table1[[#This Row],[Date]]), MONTH(Table1[[#This Row],[Date]]), 1)</f>
        <v>43282</v>
      </c>
    </row>
    <row r="225" spans="1:6" x14ac:dyDescent="0.25">
      <c r="A225" s="2">
        <v>43302</v>
      </c>
      <c r="B225" s="7">
        <v>28.93</v>
      </c>
      <c r="C225" s="1" t="s">
        <v>6</v>
      </c>
      <c r="D225" s="1" t="s">
        <v>14</v>
      </c>
      <c r="E225" s="1" t="s">
        <v>26</v>
      </c>
      <c r="F225" s="9">
        <f>DATE(YEAR(Table1[[#This Row],[Date]]), MONTH(Table1[[#This Row],[Date]]), 1)</f>
        <v>43282</v>
      </c>
    </row>
    <row r="226" spans="1:6" x14ac:dyDescent="0.25">
      <c r="A226" s="2">
        <v>43302</v>
      </c>
      <c r="B226" s="7">
        <v>30</v>
      </c>
      <c r="C226" s="1" t="s">
        <v>6</v>
      </c>
      <c r="D226" s="1" t="s">
        <v>15</v>
      </c>
      <c r="E226" s="1" t="s">
        <v>26</v>
      </c>
      <c r="F226" s="9">
        <f>DATE(YEAR(Table1[[#This Row],[Date]]), MONTH(Table1[[#This Row],[Date]]), 1)</f>
        <v>43282</v>
      </c>
    </row>
    <row r="227" spans="1:6" x14ac:dyDescent="0.25">
      <c r="A227" s="2">
        <v>43304</v>
      </c>
      <c r="B227" s="7">
        <v>9.58</v>
      </c>
      <c r="C227" s="1" t="s">
        <v>6</v>
      </c>
      <c r="D227" s="1" t="s">
        <v>1</v>
      </c>
      <c r="E227" s="1" t="s">
        <v>26</v>
      </c>
      <c r="F227" s="9">
        <f>DATE(YEAR(Table1[[#This Row],[Date]]), MONTH(Table1[[#This Row],[Date]]), 1)</f>
        <v>43282</v>
      </c>
    </row>
    <row r="228" spans="1:6" x14ac:dyDescent="0.25">
      <c r="A228" s="2">
        <v>43305</v>
      </c>
      <c r="B228" s="7">
        <v>26.59</v>
      </c>
      <c r="C228" s="1" t="s">
        <v>6</v>
      </c>
      <c r="D228" s="1" t="s">
        <v>12</v>
      </c>
      <c r="E228" s="1" t="s">
        <v>26</v>
      </c>
      <c r="F228" s="9">
        <f>DATE(YEAR(Table1[[#This Row],[Date]]), MONTH(Table1[[#This Row],[Date]]), 1)</f>
        <v>43282</v>
      </c>
    </row>
    <row r="229" spans="1:6" x14ac:dyDescent="0.25">
      <c r="A229" s="2">
        <v>43306</v>
      </c>
      <c r="B229" s="7">
        <v>74.989999999999995</v>
      </c>
      <c r="C229" s="1" t="s">
        <v>6</v>
      </c>
      <c r="D229" s="1" t="s">
        <v>2</v>
      </c>
      <c r="E229" s="1" t="s">
        <v>32</v>
      </c>
      <c r="F229" s="9">
        <f>DATE(YEAR(Table1[[#This Row],[Date]]), MONTH(Table1[[#This Row],[Date]]), 1)</f>
        <v>43282</v>
      </c>
    </row>
    <row r="230" spans="1:6" x14ac:dyDescent="0.25">
      <c r="A230" s="2">
        <v>43307</v>
      </c>
      <c r="B230" s="7">
        <v>33.67</v>
      </c>
      <c r="C230" s="1" t="s">
        <v>6</v>
      </c>
      <c r="D230" s="1" t="s">
        <v>13</v>
      </c>
      <c r="E230" s="1" t="s">
        <v>27</v>
      </c>
      <c r="F230" s="9">
        <f>DATE(YEAR(Table1[[#This Row],[Date]]), MONTH(Table1[[#This Row],[Date]]), 1)</f>
        <v>43282</v>
      </c>
    </row>
    <row r="231" spans="1:6" x14ac:dyDescent="0.25">
      <c r="A231" s="2">
        <v>43309</v>
      </c>
      <c r="B231" s="7">
        <v>7.61</v>
      </c>
      <c r="C231" s="1" t="s">
        <v>6</v>
      </c>
      <c r="D231" s="1" t="s">
        <v>14</v>
      </c>
      <c r="E231" s="1" t="s">
        <v>27</v>
      </c>
      <c r="F231" s="9">
        <f>DATE(YEAR(Table1[[#This Row],[Date]]), MONTH(Table1[[#This Row],[Date]]), 1)</f>
        <v>43282</v>
      </c>
    </row>
    <row r="232" spans="1:6" x14ac:dyDescent="0.25">
      <c r="A232" s="2">
        <v>43311</v>
      </c>
      <c r="B232" s="7">
        <v>34.380000000000003</v>
      </c>
      <c r="C232" s="1" t="s">
        <v>6</v>
      </c>
      <c r="D232" s="1" t="s">
        <v>12</v>
      </c>
      <c r="E232" s="1" t="s">
        <v>27</v>
      </c>
      <c r="F232" s="9">
        <f>DATE(YEAR(Table1[[#This Row],[Date]]), MONTH(Table1[[#This Row],[Date]]), 1)</f>
        <v>43282</v>
      </c>
    </row>
    <row r="233" spans="1:6" x14ac:dyDescent="0.25">
      <c r="A233" s="2">
        <v>43312</v>
      </c>
      <c r="B233" s="7">
        <v>6.6</v>
      </c>
      <c r="C233" s="1" t="s">
        <v>6</v>
      </c>
      <c r="D233" s="1" t="s">
        <v>7</v>
      </c>
      <c r="E233" s="1" t="s">
        <v>27</v>
      </c>
      <c r="F233" s="9">
        <f>DATE(YEAR(Table1[[#This Row],[Date]]), MONTH(Table1[[#This Row],[Date]]), 1)</f>
        <v>43282</v>
      </c>
    </row>
    <row r="234" spans="1:6" x14ac:dyDescent="0.25">
      <c r="A234" s="2">
        <v>43313</v>
      </c>
      <c r="B234" s="7">
        <v>13.13</v>
      </c>
      <c r="C234" s="1" t="s">
        <v>6</v>
      </c>
      <c r="D234" s="1" t="s">
        <v>39</v>
      </c>
      <c r="E234" s="1" t="s">
        <v>26</v>
      </c>
      <c r="F234" s="9">
        <f>DATE(YEAR(Table1[[#This Row],[Date]]), MONTH(Table1[[#This Row],[Date]]), 1)</f>
        <v>43313</v>
      </c>
    </row>
    <row r="235" spans="1:6" x14ac:dyDescent="0.25">
      <c r="A235" s="2">
        <v>43314</v>
      </c>
      <c r="B235" s="7">
        <v>40.44</v>
      </c>
      <c r="C235" s="1" t="s">
        <v>6</v>
      </c>
      <c r="D235" s="1" t="s">
        <v>13</v>
      </c>
      <c r="E235" s="1" t="s">
        <v>27</v>
      </c>
      <c r="F235" s="9">
        <f>DATE(YEAR(Table1[[#This Row],[Date]]), MONTH(Table1[[#This Row],[Date]]), 1)</f>
        <v>43313</v>
      </c>
    </row>
    <row r="236" spans="1:6" x14ac:dyDescent="0.25">
      <c r="A236" s="2">
        <v>43314</v>
      </c>
      <c r="B236" s="7">
        <v>1247.44</v>
      </c>
      <c r="C236" s="1" t="s">
        <v>6</v>
      </c>
      <c r="D236" s="1" t="s">
        <v>18</v>
      </c>
      <c r="E236" s="1" t="s">
        <v>32</v>
      </c>
      <c r="F236" s="9">
        <f>DATE(YEAR(Table1[[#This Row],[Date]]), MONTH(Table1[[#This Row],[Date]]), 1)</f>
        <v>43313</v>
      </c>
    </row>
    <row r="237" spans="1:6" x14ac:dyDescent="0.25">
      <c r="A237" s="2">
        <v>43315</v>
      </c>
      <c r="B237" s="7">
        <v>6.27</v>
      </c>
      <c r="C237" s="1" t="s">
        <v>6</v>
      </c>
      <c r="D237" s="1" t="s">
        <v>14</v>
      </c>
      <c r="E237" s="1" t="s">
        <v>27</v>
      </c>
      <c r="F237" s="9">
        <f>DATE(YEAR(Table1[[#This Row],[Date]]), MONTH(Table1[[#This Row],[Date]]), 1)</f>
        <v>43313</v>
      </c>
    </row>
    <row r="238" spans="1:6" x14ac:dyDescent="0.25">
      <c r="A238" s="2">
        <v>43315</v>
      </c>
      <c r="B238" s="7">
        <v>2000</v>
      </c>
      <c r="C238" s="1" t="s">
        <v>5</v>
      </c>
      <c r="D238" s="1" t="s">
        <v>21</v>
      </c>
      <c r="E238" s="1" t="s">
        <v>25</v>
      </c>
      <c r="F238" s="9">
        <f>DATE(YEAR(Table1[[#This Row],[Date]]), MONTH(Table1[[#This Row],[Date]]), 1)</f>
        <v>43313</v>
      </c>
    </row>
    <row r="239" spans="1:6" x14ac:dyDescent="0.25">
      <c r="A239" s="2">
        <v>43316</v>
      </c>
      <c r="B239" s="7">
        <v>11.76</v>
      </c>
      <c r="C239" s="1" t="s">
        <v>6</v>
      </c>
      <c r="D239" s="1" t="s">
        <v>19</v>
      </c>
      <c r="E239" s="1" t="s">
        <v>26</v>
      </c>
      <c r="F239" s="9">
        <f>DATE(YEAR(Table1[[#This Row],[Date]]), MONTH(Table1[[#This Row],[Date]]), 1)</f>
        <v>43313</v>
      </c>
    </row>
    <row r="240" spans="1:6" x14ac:dyDescent="0.25">
      <c r="A240" s="2">
        <v>43318</v>
      </c>
      <c r="B240" s="7">
        <v>76.47</v>
      </c>
      <c r="C240" s="1" t="s">
        <v>6</v>
      </c>
      <c r="D240" s="1" t="s">
        <v>39</v>
      </c>
      <c r="E240" s="1" t="s">
        <v>26</v>
      </c>
      <c r="F240" s="9">
        <f>DATE(YEAR(Table1[[#This Row],[Date]]), MONTH(Table1[[#This Row],[Date]]), 1)</f>
        <v>43313</v>
      </c>
    </row>
    <row r="241" spans="1:6" x14ac:dyDescent="0.25">
      <c r="A241" s="2">
        <v>43321</v>
      </c>
      <c r="B241" s="7">
        <v>10.69</v>
      </c>
      <c r="C241" s="1" t="s">
        <v>6</v>
      </c>
      <c r="D241" s="1" t="s">
        <v>20</v>
      </c>
      <c r="E241" s="1" t="s">
        <v>26</v>
      </c>
      <c r="F241" s="9">
        <f>DATE(YEAR(Table1[[#This Row],[Date]]), MONTH(Table1[[#This Row],[Date]]), 1)</f>
        <v>43313</v>
      </c>
    </row>
    <row r="242" spans="1:6" x14ac:dyDescent="0.25">
      <c r="A242" s="2">
        <v>43321</v>
      </c>
      <c r="B242" s="7">
        <v>30</v>
      </c>
      <c r="C242" s="1" t="s">
        <v>6</v>
      </c>
      <c r="D242" s="1" t="s">
        <v>22</v>
      </c>
      <c r="E242" s="1" t="s">
        <v>32</v>
      </c>
      <c r="F242" s="9">
        <f>DATE(YEAR(Table1[[#This Row],[Date]]), MONTH(Table1[[#This Row],[Date]]), 1)</f>
        <v>43313</v>
      </c>
    </row>
    <row r="243" spans="1:6" x14ac:dyDescent="0.25">
      <c r="A243" s="2">
        <v>43322</v>
      </c>
      <c r="B243" s="7">
        <v>89.4</v>
      </c>
      <c r="C243" s="1" t="s">
        <v>6</v>
      </c>
      <c r="D243" s="1" t="s">
        <v>17</v>
      </c>
      <c r="E243" s="1" t="s">
        <v>32</v>
      </c>
      <c r="F243" s="9">
        <f>DATE(YEAR(Table1[[#This Row],[Date]]), MONTH(Table1[[#This Row],[Date]]), 1)</f>
        <v>43313</v>
      </c>
    </row>
    <row r="244" spans="1:6" x14ac:dyDescent="0.25">
      <c r="A244" s="2">
        <v>43323</v>
      </c>
      <c r="B244" s="7">
        <v>13.67</v>
      </c>
      <c r="C244" s="1" t="s">
        <v>6</v>
      </c>
      <c r="D244" s="1" t="s">
        <v>1</v>
      </c>
      <c r="E244" s="1" t="s">
        <v>26</v>
      </c>
      <c r="F244" s="9">
        <f>DATE(YEAR(Table1[[#This Row],[Date]]), MONTH(Table1[[#This Row],[Date]]), 1)</f>
        <v>43313</v>
      </c>
    </row>
    <row r="245" spans="1:6" x14ac:dyDescent="0.25">
      <c r="A245" s="2">
        <v>43323</v>
      </c>
      <c r="B245" s="7">
        <v>33.659999999999997</v>
      </c>
      <c r="C245" s="1" t="s">
        <v>6</v>
      </c>
      <c r="D245" s="1" t="s">
        <v>13</v>
      </c>
      <c r="E245" s="1" t="s">
        <v>26</v>
      </c>
      <c r="F245" s="9">
        <f>DATE(YEAR(Table1[[#This Row],[Date]]), MONTH(Table1[[#This Row],[Date]]), 1)</f>
        <v>43313</v>
      </c>
    </row>
    <row r="246" spans="1:6" x14ac:dyDescent="0.25">
      <c r="A246" s="2">
        <v>43327</v>
      </c>
      <c r="B246" s="7">
        <v>41.07</v>
      </c>
      <c r="C246" s="1" t="s">
        <v>6</v>
      </c>
      <c r="D246" s="1" t="s">
        <v>13</v>
      </c>
      <c r="E246" s="1" t="s">
        <v>26</v>
      </c>
      <c r="F246" s="9">
        <f>DATE(YEAR(Table1[[#This Row],[Date]]), MONTH(Table1[[#This Row],[Date]]), 1)</f>
        <v>43313</v>
      </c>
    </row>
    <row r="247" spans="1:6" x14ac:dyDescent="0.25">
      <c r="A247" s="2">
        <v>43327</v>
      </c>
      <c r="B247" s="7">
        <v>5.64</v>
      </c>
      <c r="C247" s="1" t="s">
        <v>6</v>
      </c>
      <c r="D247" s="1" t="s">
        <v>14</v>
      </c>
      <c r="E247" s="1" t="s">
        <v>26</v>
      </c>
      <c r="F247" s="9">
        <f>DATE(YEAR(Table1[[#This Row],[Date]]), MONTH(Table1[[#This Row],[Date]]), 1)</f>
        <v>43313</v>
      </c>
    </row>
    <row r="248" spans="1:6" x14ac:dyDescent="0.25">
      <c r="A248" s="2">
        <v>43327</v>
      </c>
      <c r="B248" s="7">
        <v>60</v>
      </c>
      <c r="C248" s="1" t="s">
        <v>6</v>
      </c>
      <c r="D248" s="1" t="s">
        <v>22</v>
      </c>
      <c r="E248" s="1" t="s">
        <v>32</v>
      </c>
      <c r="F248" s="9">
        <f>DATE(YEAR(Table1[[#This Row],[Date]]), MONTH(Table1[[#This Row],[Date]]), 1)</f>
        <v>43313</v>
      </c>
    </row>
    <row r="249" spans="1:6" x14ac:dyDescent="0.25">
      <c r="A249" s="2">
        <v>43328</v>
      </c>
      <c r="B249" s="7">
        <v>35</v>
      </c>
      <c r="C249" s="1" t="s">
        <v>6</v>
      </c>
      <c r="D249" s="1" t="s">
        <v>22</v>
      </c>
      <c r="E249" s="1" t="s">
        <v>32</v>
      </c>
      <c r="F249" s="9">
        <f>DATE(YEAR(Table1[[#This Row],[Date]]), MONTH(Table1[[#This Row],[Date]]), 1)</f>
        <v>43313</v>
      </c>
    </row>
    <row r="250" spans="1:6" x14ac:dyDescent="0.25">
      <c r="A250" s="2">
        <v>43329</v>
      </c>
      <c r="B250" s="7">
        <v>2000</v>
      </c>
      <c r="C250" s="1" t="s">
        <v>5</v>
      </c>
      <c r="D250" s="1" t="s">
        <v>21</v>
      </c>
      <c r="E250" s="1" t="s">
        <v>25</v>
      </c>
      <c r="F250" s="9">
        <f>DATE(YEAR(Table1[[#This Row],[Date]]), MONTH(Table1[[#This Row],[Date]]), 1)</f>
        <v>43313</v>
      </c>
    </row>
    <row r="251" spans="1:6" x14ac:dyDescent="0.25">
      <c r="A251" s="2">
        <v>43329</v>
      </c>
      <c r="B251" s="7">
        <v>14.98</v>
      </c>
      <c r="C251" s="1" t="s">
        <v>6</v>
      </c>
      <c r="D251" s="1" t="s">
        <v>39</v>
      </c>
      <c r="E251" s="1" t="s">
        <v>26</v>
      </c>
      <c r="F251" s="9">
        <f>DATE(YEAR(Table1[[#This Row],[Date]]), MONTH(Table1[[#This Row],[Date]]), 1)</f>
        <v>43313</v>
      </c>
    </row>
    <row r="252" spans="1:6" x14ac:dyDescent="0.25">
      <c r="A252" s="2">
        <v>43330</v>
      </c>
      <c r="B252" s="7">
        <v>23.47</v>
      </c>
      <c r="C252" s="1" t="s">
        <v>6</v>
      </c>
      <c r="D252" s="1" t="s">
        <v>39</v>
      </c>
      <c r="E252" s="1" t="s">
        <v>26</v>
      </c>
      <c r="F252" s="9">
        <f>DATE(YEAR(Table1[[#This Row],[Date]]), MONTH(Table1[[#This Row],[Date]]), 1)</f>
        <v>43313</v>
      </c>
    </row>
    <row r="253" spans="1:6" x14ac:dyDescent="0.25">
      <c r="A253" s="2">
        <v>43332</v>
      </c>
      <c r="B253" s="7">
        <v>75</v>
      </c>
      <c r="C253" s="1" t="s">
        <v>6</v>
      </c>
      <c r="D253" s="1" t="s">
        <v>8</v>
      </c>
      <c r="E253" s="1" t="s">
        <v>32</v>
      </c>
      <c r="F253" s="9">
        <f>DATE(YEAR(Table1[[#This Row],[Date]]), MONTH(Table1[[#This Row],[Date]]), 1)</f>
        <v>43313</v>
      </c>
    </row>
    <row r="254" spans="1:6" x14ac:dyDescent="0.25">
      <c r="A254" s="2">
        <v>43336</v>
      </c>
      <c r="B254" s="7">
        <v>42.31</v>
      </c>
      <c r="C254" s="1" t="s">
        <v>6</v>
      </c>
      <c r="D254" s="1" t="s">
        <v>12</v>
      </c>
      <c r="E254" s="1" t="s">
        <v>26</v>
      </c>
      <c r="F254" s="9">
        <f>DATE(YEAR(Table1[[#This Row],[Date]]), MONTH(Table1[[#This Row],[Date]]), 1)</f>
        <v>43313</v>
      </c>
    </row>
    <row r="255" spans="1:6" x14ac:dyDescent="0.25">
      <c r="A255" s="2">
        <v>43339</v>
      </c>
      <c r="B255" s="7">
        <v>74.989999999999995</v>
      </c>
      <c r="C255" s="1" t="s">
        <v>6</v>
      </c>
      <c r="D255" s="1" t="s">
        <v>2</v>
      </c>
      <c r="E255" s="1" t="s">
        <v>32</v>
      </c>
      <c r="F255" s="9">
        <f>DATE(YEAR(Table1[[#This Row],[Date]]), MONTH(Table1[[#This Row],[Date]]), 1)</f>
        <v>43313</v>
      </c>
    </row>
    <row r="256" spans="1:6" x14ac:dyDescent="0.25">
      <c r="A256" s="2">
        <v>43342</v>
      </c>
      <c r="B256" s="7">
        <v>35.65</v>
      </c>
      <c r="C256" s="1" t="s">
        <v>6</v>
      </c>
      <c r="D256" s="1" t="s">
        <v>13</v>
      </c>
      <c r="E256" s="1" t="s">
        <v>26</v>
      </c>
      <c r="F256" s="9">
        <f>DATE(YEAR(Table1[[#This Row],[Date]]), MONTH(Table1[[#This Row],[Date]]), 1)</f>
        <v>43313</v>
      </c>
    </row>
    <row r="257" spans="1:6" x14ac:dyDescent="0.25">
      <c r="A257" s="2">
        <v>43343</v>
      </c>
      <c r="B257" s="7">
        <v>11.64</v>
      </c>
      <c r="C257" s="1" t="s">
        <v>6</v>
      </c>
      <c r="D257" s="1" t="s">
        <v>14</v>
      </c>
      <c r="E257" s="1" t="s">
        <v>26</v>
      </c>
      <c r="F257" s="9">
        <f>DATE(YEAR(Table1[[#This Row],[Date]]), MONTH(Table1[[#This Row],[Date]]), 1)</f>
        <v>43313</v>
      </c>
    </row>
    <row r="258" spans="1:6" x14ac:dyDescent="0.25">
      <c r="A258" s="2">
        <v>43343</v>
      </c>
      <c r="B258" s="7">
        <v>2000</v>
      </c>
      <c r="C258" s="1" t="s">
        <v>5</v>
      </c>
      <c r="D258" s="1" t="s">
        <v>21</v>
      </c>
      <c r="E258" s="1" t="s">
        <v>25</v>
      </c>
      <c r="F258" s="9">
        <f>DATE(YEAR(Table1[[#This Row],[Date]]), MONTH(Table1[[#This Row],[Date]]), 1)</f>
        <v>43313</v>
      </c>
    </row>
    <row r="259" spans="1:6" x14ac:dyDescent="0.25">
      <c r="A259" s="2">
        <v>43344</v>
      </c>
      <c r="B259" s="7">
        <v>47.4</v>
      </c>
      <c r="C259" s="1" t="s">
        <v>6</v>
      </c>
      <c r="D259" s="1" t="s">
        <v>7</v>
      </c>
      <c r="E259" s="1" t="s">
        <v>26</v>
      </c>
      <c r="F259" s="9">
        <f>DATE(YEAR(Table1[[#This Row],[Date]]), MONTH(Table1[[#This Row],[Date]]), 1)</f>
        <v>43344</v>
      </c>
    </row>
    <row r="260" spans="1:6" x14ac:dyDescent="0.25">
      <c r="A260" s="2">
        <v>43344</v>
      </c>
      <c r="B260" s="7">
        <v>13.13</v>
      </c>
      <c r="C260" s="1" t="s">
        <v>6</v>
      </c>
      <c r="D260" s="1" t="s">
        <v>39</v>
      </c>
      <c r="E260" s="1" t="s">
        <v>26</v>
      </c>
      <c r="F260" s="9">
        <f>DATE(YEAR(Table1[[#This Row],[Date]]), MONTH(Table1[[#This Row],[Date]]), 1)</f>
        <v>43344</v>
      </c>
    </row>
    <row r="261" spans="1:6" x14ac:dyDescent="0.25">
      <c r="A261" s="2">
        <v>43345</v>
      </c>
      <c r="B261" s="7">
        <v>109.83</v>
      </c>
      <c r="C261" s="1" t="s">
        <v>6</v>
      </c>
      <c r="D261" s="1" t="s">
        <v>39</v>
      </c>
      <c r="E261" s="1" t="s">
        <v>26</v>
      </c>
      <c r="F261" s="9">
        <f>DATE(YEAR(Table1[[#This Row],[Date]]), MONTH(Table1[[#This Row],[Date]]), 1)</f>
        <v>43344</v>
      </c>
    </row>
    <row r="262" spans="1:6" x14ac:dyDescent="0.25">
      <c r="A262" s="2">
        <v>43347</v>
      </c>
      <c r="B262" s="7">
        <v>1247.44</v>
      </c>
      <c r="C262" s="1" t="s">
        <v>6</v>
      </c>
      <c r="D262" s="1" t="s">
        <v>18</v>
      </c>
      <c r="E262" s="1" t="s">
        <v>32</v>
      </c>
      <c r="F262" s="9">
        <f>DATE(YEAR(Table1[[#This Row],[Date]]), MONTH(Table1[[#This Row],[Date]]), 1)</f>
        <v>43344</v>
      </c>
    </row>
    <row r="263" spans="1:6" x14ac:dyDescent="0.25">
      <c r="A263" s="2">
        <v>43347</v>
      </c>
      <c r="B263" s="7">
        <v>11.76</v>
      </c>
      <c r="C263" s="1" t="s">
        <v>6</v>
      </c>
      <c r="D263" s="1" t="s">
        <v>19</v>
      </c>
      <c r="E263" s="1" t="s">
        <v>26</v>
      </c>
      <c r="F263" s="9">
        <f>DATE(YEAR(Table1[[#This Row],[Date]]), MONTH(Table1[[#This Row],[Date]]), 1)</f>
        <v>43344</v>
      </c>
    </row>
    <row r="264" spans="1:6" x14ac:dyDescent="0.25">
      <c r="A264" s="2">
        <v>43350</v>
      </c>
      <c r="B264" s="7">
        <v>30</v>
      </c>
      <c r="C264" s="1" t="s">
        <v>6</v>
      </c>
      <c r="D264" s="1" t="s">
        <v>22</v>
      </c>
      <c r="E264" s="1" t="s">
        <v>32</v>
      </c>
      <c r="F264" s="9">
        <f>DATE(YEAR(Table1[[#This Row],[Date]]), MONTH(Table1[[#This Row],[Date]]), 1)</f>
        <v>43344</v>
      </c>
    </row>
    <row r="265" spans="1:6" x14ac:dyDescent="0.25">
      <c r="A265" s="2">
        <v>43352</v>
      </c>
      <c r="B265" s="7">
        <v>18</v>
      </c>
      <c r="C265" s="1" t="s">
        <v>6</v>
      </c>
      <c r="D265" s="1" t="s">
        <v>7</v>
      </c>
      <c r="E265" s="1" t="s">
        <v>26</v>
      </c>
      <c r="F265" s="9">
        <f>DATE(YEAR(Table1[[#This Row],[Date]]), MONTH(Table1[[#This Row],[Date]]), 1)</f>
        <v>43344</v>
      </c>
    </row>
    <row r="266" spans="1:6" x14ac:dyDescent="0.25">
      <c r="A266" s="2">
        <v>43352</v>
      </c>
      <c r="B266" s="7">
        <v>10.69</v>
      </c>
      <c r="C266" s="1" t="s">
        <v>6</v>
      </c>
      <c r="D266" s="1" t="s">
        <v>20</v>
      </c>
      <c r="E266" s="1" t="s">
        <v>26</v>
      </c>
      <c r="F266" s="9">
        <f>DATE(YEAR(Table1[[#This Row],[Date]]), MONTH(Table1[[#This Row],[Date]]), 1)</f>
        <v>43344</v>
      </c>
    </row>
    <row r="267" spans="1:6" x14ac:dyDescent="0.25">
      <c r="A267" s="2">
        <v>43354</v>
      </c>
      <c r="B267" s="7">
        <v>38.86</v>
      </c>
      <c r="C267" s="1" t="s">
        <v>6</v>
      </c>
      <c r="D267" s="1" t="s">
        <v>13</v>
      </c>
      <c r="E267" s="1" t="s">
        <v>26</v>
      </c>
      <c r="F267" s="9">
        <f>DATE(YEAR(Table1[[#This Row],[Date]]), MONTH(Table1[[#This Row],[Date]]), 1)</f>
        <v>43344</v>
      </c>
    </row>
    <row r="268" spans="1:6" x14ac:dyDescent="0.25">
      <c r="A268" s="2">
        <v>43354</v>
      </c>
      <c r="B268" s="7">
        <v>7.87</v>
      </c>
      <c r="C268" s="1" t="s">
        <v>6</v>
      </c>
      <c r="D268" s="1" t="s">
        <v>14</v>
      </c>
      <c r="E268" s="1" t="s">
        <v>26</v>
      </c>
      <c r="F268" s="9">
        <f>DATE(YEAR(Table1[[#This Row],[Date]]), MONTH(Table1[[#This Row],[Date]]), 1)</f>
        <v>43344</v>
      </c>
    </row>
    <row r="269" spans="1:6" x14ac:dyDescent="0.25">
      <c r="A269" s="2">
        <v>43355</v>
      </c>
      <c r="B269" s="7">
        <v>47.16</v>
      </c>
      <c r="C269" s="1" t="s">
        <v>6</v>
      </c>
      <c r="D269" s="1" t="s">
        <v>14</v>
      </c>
      <c r="E269" s="1" t="s">
        <v>26</v>
      </c>
      <c r="F269" s="9">
        <f>DATE(YEAR(Table1[[#This Row],[Date]]), MONTH(Table1[[#This Row],[Date]]), 1)</f>
        <v>43344</v>
      </c>
    </row>
    <row r="270" spans="1:6" x14ac:dyDescent="0.25">
      <c r="A270" s="2">
        <v>43355</v>
      </c>
      <c r="B270" s="7">
        <v>89.4</v>
      </c>
      <c r="C270" s="1" t="s">
        <v>6</v>
      </c>
      <c r="D270" s="1" t="s">
        <v>17</v>
      </c>
      <c r="E270" s="1" t="s">
        <v>32</v>
      </c>
      <c r="F270" s="9">
        <f>DATE(YEAR(Table1[[#This Row],[Date]]), MONTH(Table1[[#This Row],[Date]]), 1)</f>
        <v>43344</v>
      </c>
    </row>
    <row r="271" spans="1:6" x14ac:dyDescent="0.25">
      <c r="A271" s="2">
        <v>43356</v>
      </c>
      <c r="B271" s="7">
        <v>5.64</v>
      </c>
      <c r="C271" s="1" t="s">
        <v>6</v>
      </c>
      <c r="D271" s="1" t="s">
        <v>14</v>
      </c>
      <c r="E271" s="1" t="s">
        <v>26</v>
      </c>
      <c r="F271" s="9">
        <f>DATE(YEAR(Table1[[#This Row],[Date]]), MONTH(Table1[[#This Row],[Date]]), 1)</f>
        <v>43344</v>
      </c>
    </row>
    <row r="272" spans="1:6" x14ac:dyDescent="0.25">
      <c r="A272" s="2">
        <v>43357</v>
      </c>
      <c r="B272" s="7">
        <v>2000</v>
      </c>
      <c r="C272" s="1" t="s">
        <v>5</v>
      </c>
      <c r="D272" s="1" t="s">
        <v>21</v>
      </c>
      <c r="E272" s="1" t="s">
        <v>25</v>
      </c>
      <c r="F272" s="9">
        <f>DATE(YEAR(Table1[[#This Row],[Date]]), MONTH(Table1[[#This Row],[Date]]), 1)</f>
        <v>43344</v>
      </c>
    </row>
    <row r="273" spans="1:6" x14ac:dyDescent="0.25">
      <c r="A273" s="2">
        <v>43360</v>
      </c>
      <c r="B273" s="7">
        <v>10.17</v>
      </c>
      <c r="C273" s="1" t="s">
        <v>6</v>
      </c>
      <c r="D273" s="1" t="s">
        <v>14</v>
      </c>
      <c r="E273" s="1" t="s">
        <v>26</v>
      </c>
      <c r="F273" s="9">
        <f>DATE(YEAR(Table1[[#This Row],[Date]]), MONTH(Table1[[#This Row],[Date]]), 1)</f>
        <v>43344</v>
      </c>
    </row>
    <row r="274" spans="1:6" x14ac:dyDescent="0.25">
      <c r="A274" s="2">
        <v>43360</v>
      </c>
      <c r="B274" s="7">
        <v>8.8000000000000007</v>
      </c>
      <c r="C274" s="1" t="s">
        <v>6</v>
      </c>
      <c r="D274" s="1" t="s">
        <v>14</v>
      </c>
      <c r="E274" s="1" t="s">
        <v>26</v>
      </c>
      <c r="F274" s="9">
        <f>DATE(YEAR(Table1[[#This Row],[Date]]), MONTH(Table1[[#This Row],[Date]]), 1)</f>
        <v>43344</v>
      </c>
    </row>
    <row r="275" spans="1:6" x14ac:dyDescent="0.25">
      <c r="A275" s="2">
        <v>43360</v>
      </c>
      <c r="B275" s="7">
        <v>35</v>
      </c>
      <c r="C275" s="1" t="s">
        <v>6</v>
      </c>
      <c r="D275" s="1" t="s">
        <v>22</v>
      </c>
      <c r="E275" s="1" t="s">
        <v>32</v>
      </c>
      <c r="F275" s="9">
        <f>DATE(YEAR(Table1[[#This Row],[Date]]), MONTH(Table1[[#This Row],[Date]]), 1)</f>
        <v>43344</v>
      </c>
    </row>
    <row r="276" spans="1:6" x14ac:dyDescent="0.25">
      <c r="A276" s="2">
        <v>43361</v>
      </c>
      <c r="B276" s="7">
        <v>4.32</v>
      </c>
      <c r="C276" s="1" t="s">
        <v>6</v>
      </c>
      <c r="D276" s="1" t="s">
        <v>14</v>
      </c>
      <c r="E276" s="1" t="s">
        <v>26</v>
      </c>
      <c r="F276" s="9">
        <f>DATE(YEAR(Table1[[#This Row],[Date]]), MONTH(Table1[[#This Row],[Date]]), 1)</f>
        <v>43344</v>
      </c>
    </row>
    <row r="277" spans="1:6" x14ac:dyDescent="0.25">
      <c r="A277" s="2">
        <v>43361</v>
      </c>
      <c r="B277" s="7">
        <v>60</v>
      </c>
      <c r="C277" s="1" t="s">
        <v>6</v>
      </c>
      <c r="D277" s="1" t="s">
        <v>22</v>
      </c>
      <c r="E277" s="1" t="s">
        <v>32</v>
      </c>
      <c r="F277" s="9">
        <f>DATE(YEAR(Table1[[#This Row],[Date]]), MONTH(Table1[[#This Row],[Date]]), 1)</f>
        <v>43344</v>
      </c>
    </row>
    <row r="278" spans="1:6" x14ac:dyDescent="0.25">
      <c r="A278" s="2">
        <v>43362</v>
      </c>
      <c r="B278" s="7">
        <v>75</v>
      </c>
      <c r="C278" s="1" t="s">
        <v>6</v>
      </c>
      <c r="D278" s="1" t="s">
        <v>8</v>
      </c>
      <c r="E278" s="1" t="s">
        <v>32</v>
      </c>
      <c r="F278" s="9">
        <f>DATE(YEAR(Table1[[#This Row],[Date]]), MONTH(Table1[[#This Row],[Date]]), 1)</f>
        <v>43344</v>
      </c>
    </row>
    <row r="279" spans="1:6" x14ac:dyDescent="0.25">
      <c r="A279" s="2">
        <v>43362</v>
      </c>
      <c r="B279" s="7">
        <v>30</v>
      </c>
      <c r="C279" s="1" t="s">
        <v>6</v>
      </c>
      <c r="D279" s="1" t="s">
        <v>15</v>
      </c>
      <c r="E279" s="1" t="s">
        <v>26</v>
      </c>
      <c r="F279" s="9">
        <f>DATE(YEAR(Table1[[#This Row],[Date]]), MONTH(Table1[[#This Row],[Date]]), 1)</f>
        <v>43344</v>
      </c>
    </row>
    <row r="280" spans="1:6" x14ac:dyDescent="0.25">
      <c r="A280" s="2">
        <v>43363</v>
      </c>
      <c r="B280" s="7">
        <v>47.38</v>
      </c>
      <c r="C280" s="1" t="s">
        <v>6</v>
      </c>
      <c r="D280" s="1" t="s">
        <v>39</v>
      </c>
      <c r="E280" s="1" t="s">
        <v>26</v>
      </c>
      <c r="F280" s="9">
        <f>DATE(YEAR(Table1[[#This Row],[Date]]), MONTH(Table1[[#This Row],[Date]]), 1)</f>
        <v>43344</v>
      </c>
    </row>
    <row r="281" spans="1:6" x14ac:dyDescent="0.25">
      <c r="A281" s="2">
        <v>43365</v>
      </c>
      <c r="B281" s="7">
        <v>69.400000000000006</v>
      </c>
      <c r="C281" s="1" t="s">
        <v>6</v>
      </c>
      <c r="D281" s="1" t="s">
        <v>16</v>
      </c>
      <c r="E281" s="1" t="s">
        <v>26</v>
      </c>
      <c r="F281" s="9">
        <f>DATE(YEAR(Table1[[#This Row],[Date]]), MONTH(Table1[[#This Row],[Date]]), 1)</f>
        <v>43344</v>
      </c>
    </row>
    <row r="282" spans="1:6" x14ac:dyDescent="0.25">
      <c r="A282" s="2">
        <v>43365</v>
      </c>
      <c r="B282" s="7">
        <v>6.83</v>
      </c>
      <c r="C282" s="1" t="s">
        <v>6</v>
      </c>
      <c r="D282" s="1" t="s">
        <v>16</v>
      </c>
      <c r="E282" s="1" t="s">
        <v>26</v>
      </c>
      <c r="F282" s="9">
        <f>DATE(YEAR(Table1[[#This Row],[Date]]), MONTH(Table1[[#This Row],[Date]]), 1)</f>
        <v>43344</v>
      </c>
    </row>
    <row r="283" spans="1:6" x14ac:dyDescent="0.25">
      <c r="A283" s="2">
        <v>43368</v>
      </c>
      <c r="B283" s="7">
        <v>74.989999999999995</v>
      </c>
      <c r="C283" s="1" t="s">
        <v>6</v>
      </c>
      <c r="D283" s="1" t="s">
        <v>2</v>
      </c>
      <c r="E283" s="1" t="s">
        <v>32</v>
      </c>
      <c r="F283" s="9">
        <f>DATE(YEAR(Table1[[#This Row],[Date]]), MONTH(Table1[[#This Row],[Date]]), 1)</f>
        <v>43344</v>
      </c>
    </row>
    <row r="284" spans="1:6" x14ac:dyDescent="0.25">
      <c r="A284" s="2">
        <v>43368</v>
      </c>
      <c r="B284" s="7">
        <v>48.64</v>
      </c>
      <c r="C284" s="1" t="s">
        <v>6</v>
      </c>
      <c r="D284" s="1" t="s">
        <v>12</v>
      </c>
      <c r="E284" s="1" t="s">
        <v>27</v>
      </c>
      <c r="F284" s="9">
        <f>DATE(YEAR(Table1[[#This Row],[Date]]), MONTH(Table1[[#This Row],[Date]]), 1)</f>
        <v>43344</v>
      </c>
    </row>
    <row r="285" spans="1:6" x14ac:dyDescent="0.25">
      <c r="A285" s="2">
        <v>43369</v>
      </c>
      <c r="B285" s="7">
        <v>5</v>
      </c>
      <c r="C285" s="1" t="s">
        <v>6</v>
      </c>
      <c r="D285" s="1" t="s">
        <v>9</v>
      </c>
      <c r="E285" s="1" t="s">
        <v>26</v>
      </c>
      <c r="F285" s="9">
        <f>DATE(YEAR(Table1[[#This Row],[Date]]), MONTH(Table1[[#This Row],[Date]]), 1)</f>
        <v>43344</v>
      </c>
    </row>
    <row r="286" spans="1:6" x14ac:dyDescent="0.25">
      <c r="A286" s="2">
        <v>43369</v>
      </c>
      <c r="B286" s="7">
        <v>38</v>
      </c>
      <c r="C286" s="1" t="s">
        <v>6</v>
      </c>
      <c r="D286" s="1" t="s">
        <v>13</v>
      </c>
      <c r="E286" s="1" t="s">
        <v>27</v>
      </c>
      <c r="F286" s="9">
        <f>DATE(YEAR(Table1[[#This Row],[Date]]), MONTH(Table1[[#This Row],[Date]]), 1)</f>
        <v>43344</v>
      </c>
    </row>
    <row r="287" spans="1:6" x14ac:dyDescent="0.25">
      <c r="A287" s="2">
        <v>43370</v>
      </c>
      <c r="B287" s="7">
        <v>40.71</v>
      </c>
      <c r="C287" s="1" t="s">
        <v>6</v>
      </c>
      <c r="D287" s="1" t="s">
        <v>13</v>
      </c>
      <c r="E287" s="1" t="s">
        <v>26</v>
      </c>
      <c r="F287" s="9">
        <f>DATE(YEAR(Table1[[#This Row],[Date]]), MONTH(Table1[[#This Row],[Date]]), 1)</f>
        <v>43344</v>
      </c>
    </row>
    <row r="288" spans="1:6" x14ac:dyDescent="0.25">
      <c r="A288" s="2">
        <v>43371</v>
      </c>
      <c r="B288" s="7">
        <v>13.36</v>
      </c>
      <c r="C288" s="1" t="s">
        <v>6</v>
      </c>
      <c r="D288" s="1" t="s">
        <v>14</v>
      </c>
      <c r="E288" s="1" t="s">
        <v>26</v>
      </c>
      <c r="F288" s="9">
        <f>DATE(YEAR(Table1[[#This Row],[Date]]), MONTH(Table1[[#This Row],[Date]]), 1)</f>
        <v>43344</v>
      </c>
    </row>
    <row r="289" spans="1:6" x14ac:dyDescent="0.25">
      <c r="A289" s="2">
        <v>43371</v>
      </c>
      <c r="B289" s="7">
        <v>2000</v>
      </c>
      <c r="C289" s="1" t="s">
        <v>5</v>
      </c>
      <c r="D289" s="1" t="s">
        <v>21</v>
      </c>
      <c r="E289" s="1" t="s">
        <v>25</v>
      </c>
      <c r="F289" s="9">
        <f>DATE(YEAR(Table1[[#This Row],[Date]]), MONTH(Table1[[#This Row],[Date]]), 1)</f>
        <v>43344</v>
      </c>
    </row>
    <row r="290" spans="1:6" x14ac:dyDescent="0.25">
      <c r="A290" s="2">
        <v>43372</v>
      </c>
      <c r="B290" s="7">
        <v>23.26</v>
      </c>
      <c r="C290" s="1" t="s">
        <v>6</v>
      </c>
      <c r="D290" s="1" t="s">
        <v>12</v>
      </c>
      <c r="E290" s="1" t="s">
        <v>26</v>
      </c>
      <c r="F290" s="9">
        <f>DATE(YEAR(Table1[[#This Row],[Date]]), MONTH(Table1[[#This Row],[Date]]), 1)</f>
        <v>43344</v>
      </c>
    </row>
    <row r="291" spans="1:6" x14ac:dyDescent="0.25">
      <c r="A291" s="2">
        <v>43372</v>
      </c>
      <c r="B291" s="7">
        <v>46.7</v>
      </c>
      <c r="C291" s="1" t="s">
        <v>6</v>
      </c>
      <c r="D291" s="1" t="s">
        <v>12</v>
      </c>
      <c r="E291" s="1" t="s">
        <v>26</v>
      </c>
      <c r="F291" s="9">
        <f>DATE(YEAR(Table1[[#This Row],[Date]]), MONTH(Table1[[#This Row],[Date]]), 1)</f>
        <v>43344</v>
      </c>
    </row>
    <row r="292" spans="1:6" x14ac:dyDescent="0.25">
      <c r="A292" s="2">
        <v>43374</v>
      </c>
      <c r="B292" s="7">
        <v>3</v>
      </c>
      <c r="C292" s="1" t="s">
        <v>6</v>
      </c>
      <c r="D292" s="1" t="s">
        <v>9</v>
      </c>
      <c r="E292" s="1" t="s">
        <v>26</v>
      </c>
      <c r="F292" s="9">
        <f>DATE(YEAR(Table1[[#This Row],[Date]]), MONTH(Table1[[#This Row],[Date]]), 1)</f>
        <v>43374</v>
      </c>
    </row>
    <row r="293" spans="1:6" x14ac:dyDescent="0.25">
      <c r="A293" s="2">
        <v>43374</v>
      </c>
      <c r="B293" s="7">
        <v>15.66</v>
      </c>
      <c r="C293" s="1" t="s">
        <v>6</v>
      </c>
      <c r="D293" s="1" t="s">
        <v>14</v>
      </c>
      <c r="E293" s="1" t="s">
        <v>26</v>
      </c>
      <c r="F293" s="9">
        <f>DATE(YEAR(Table1[[#This Row],[Date]]), MONTH(Table1[[#This Row],[Date]]), 1)</f>
        <v>43374</v>
      </c>
    </row>
    <row r="294" spans="1:6" x14ac:dyDescent="0.25">
      <c r="A294" s="2">
        <v>43374</v>
      </c>
      <c r="B294" s="7">
        <v>13.13</v>
      </c>
      <c r="C294" s="1" t="s">
        <v>6</v>
      </c>
      <c r="D294" s="1" t="s">
        <v>39</v>
      </c>
      <c r="E294" s="1" t="s">
        <v>26</v>
      </c>
      <c r="F294" s="9">
        <f>DATE(YEAR(Table1[[#This Row],[Date]]), MONTH(Table1[[#This Row],[Date]]), 1)</f>
        <v>43374</v>
      </c>
    </row>
    <row r="295" spans="1:6" x14ac:dyDescent="0.25">
      <c r="A295" s="2">
        <v>43375</v>
      </c>
      <c r="B295" s="7">
        <v>1209.18</v>
      </c>
      <c r="C295" s="1" t="s">
        <v>6</v>
      </c>
      <c r="D295" s="1" t="s">
        <v>18</v>
      </c>
      <c r="E295" s="1" t="s">
        <v>32</v>
      </c>
      <c r="F295" s="9">
        <f>DATE(YEAR(Table1[[#This Row],[Date]]), MONTH(Table1[[#This Row],[Date]]), 1)</f>
        <v>43374</v>
      </c>
    </row>
    <row r="296" spans="1:6" x14ac:dyDescent="0.25">
      <c r="A296" s="2">
        <v>43377</v>
      </c>
      <c r="B296" s="7">
        <v>11.76</v>
      </c>
      <c r="C296" s="1" t="s">
        <v>6</v>
      </c>
      <c r="D296" s="1" t="s">
        <v>19</v>
      </c>
      <c r="E296" s="1" t="s">
        <v>26</v>
      </c>
      <c r="F296" s="9">
        <f>DATE(YEAR(Table1[[#This Row],[Date]]), MONTH(Table1[[#This Row],[Date]]), 1)</f>
        <v>43374</v>
      </c>
    </row>
    <row r="297" spans="1:6" x14ac:dyDescent="0.25">
      <c r="A297" s="2">
        <v>43379</v>
      </c>
      <c r="B297" s="7">
        <v>27</v>
      </c>
      <c r="C297" s="1" t="s">
        <v>6</v>
      </c>
      <c r="D297" s="1" t="s">
        <v>12</v>
      </c>
      <c r="E297" s="1" t="s">
        <v>27</v>
      </c>
      <c r="F297" s="9">
        <f>DATE(YEAR(Table1[[#This Row],[Date]]), MONTH(Table1[[#This Row],[Date]]), 1)</f>
        <v>43374</v>
      </c>
    </row>
    <row r="298" spans="1:6" x14ac:dyDescent="0.25">
      <c r="A298" s="2">
        <v>43381</v>
      </c>
      <c r="B298" s="7">
        <v>38.06</v>
      </c>
      <c r="C298" s="1" t="s">
        <v>6</v>
      </c>
      <c r="D298" s="1" t="s">
        <v>13</v>
      </c>
      <c r="E298" s="1" t="s">
        <v>27</v>
      </c>
      <c r="F298" s="9">
        <f>DATE(YEAR(Table1[[#This Row],[Date]]), MONTH(Table1[[#This Row],[Date]]), 1)</f>
        <v>43374</v>
      </c>
    </row>
    <row r="299" spans="1:6" x14ac:dyDescent="0.25">
      <c r="A299" s="2">
        <v>43381</v>
      </c>
      <c r="B299" s="7">
        <v>80.650000000000006</v>
      </c>
      <c r="C299" s="1" t="s">
        <v>6</v>
      </c>
      <c r="D299" s="1" t="s">
        <v>16</v>
      </c>
      <c r="E299" s="1" t="s">
        <v>27</v>
      </c>
      <c r="F299" s="9">
        <f>DATE(YEAR(Table1[[#This Row],[Date]]), MONTH(Table1[[#This Row],[Date]]), 1)</f>
        <v>43374</v>
      </c>
    </row>
    <row r="300" spans="1:6" x14ac:dyDescent="0.25">
      <c r="A300" s="2">
        <v>43381</v>
      </c>
      <c r="B300" s="7">
        <v>31.2</v>
      </c>
      <c r="C300" s="1" t="s">
        <v>6</v>
      </c>
      <c r="D300" s="1" t="s">
        <v>16</v>
      </c>
      <c r="E300" s="1" t="s">
        <v>27</v>
      </c>
      <c r="F300" s="9">
        <f>DATE(YEAR(Table1[[#This Row],[Date]]), MONTH(Table1[[#This Row],[Date]]), 1)</f>
        <v>43374</v>
      </c>
    </row>
    <row r="301" spans="1:6" x14ac:dyDescent="0.25">
      <c r="A301" s="2">
        <v>43382</v>
      </c>
      <c r="B301" s="7">
        <v>10.69</v>
      </c>
      <c r="C301" s="1" t="s">
        <v>6</v>
      </c>
      <c r="D301" s="1" t="s">
        <v>20</v>
      </c>
      <c r="E301" s="1" t="s">
        <v>26</v>
      </c>
      <c r="F301" s="9">
        <f>DATE(YEAR(Table1[[#This Row],[Date]]), MONTH(Table1[[#This Row],[Date]]), 1)</f>
        <v>43374</v>
      </c>
    </row>
    <row r="302" spans="1:6" x14ac:dyDescent="0.25">
      <c r="A302" s="2">
        <v>43382</v>
      </c>
      <c r="B302" s="7">
        <v>19.98</v>
      </c>
      <c r="C302" s="1" t="s">
        <v>6</v>
      </c>
      <c r="D302" s="1" t="s">
        <v>39</v>
      </c>
      <c r="E302" s="1" t="s">
        <v>26</v>
      </c>
      <c r="F302" s="9">
        <f>DATE(YEAR(Table1[[#This Row],[Date]]), MONTH(Table1[[#This Row],[Date]]), 1)</f>
        <v>43374</v>
      </c>
    </row>
    <row r="303" spans="1:6" x14ac:dyDescent="0.25">
      <c r="A303" s="2">
        <v>43382</v>
      </c>
      <c r="B303" s="7">
        <v>30</v>
      </c>
      <c r="C303" s="1" t="s">
        <v>6</v>
      </c>
      <c r="D303" s="1" t="s">
        <v>22</v>
      </c>
      <c r="E303" s="1" t="s">
        <v>32</v>
      </c>
      <c r="F303" s="9">
        <f>DATE(YEAR(Table1[[#This Row],[Date]]), MONTH(Table1[[#This Row],[Date]]), 1)</f>
        <v>43374</v>
      </c>
    </row>
    <row r="304" spans="1:6" x14ac:dyDescent="0.25">
      <c r="A304" s="2">
        <v>43383</v>
      </c>
      <c r="B304" s="7">
        <v>53.68</v>
      </c>
      <c r="C304" s="1" t="s">
        <v>6</v>
      </c>
      <c r="D304" s="1" t="s">
        <v>14</v>
      </c>
      <c r="E304" s="1" t="s">
        <v>27</v>
      </c>
      <c r="F304" s="9">
        <f>DATE(YEAR(Table1[[#This Row],[Date]]), MONTH(Table1[[#This Row],[Date]]), 1)</f>
        <v>43374</v>
      </c>
    </row>
    <row r="305" spans="1:6" x14ac:dyDescent="0.25">
      <c r="A305" s="2">
        <v>43384</v>
      </c>
      <c r="B305" s="7">
        <v>89.4</v>
      </c>
      <c r="C305" s="1" t="s">
        <v>6</v>
      </c>
      <c r="D305" s="1" t="s">
        <v>17</v>
      </c>
      <c r="E305" s="1" t="s">
        <v>32</v>
      </c>
      <c r="F305" s="9">
        <f>DATE(YEAR(Table1[[#This Row],[Date]]), MONTH(Table1[[#This Row],[Date]]), 1)</f>
        <v>43374</v>
      </c>
    </row>
    <row r="306" spans="1:6" x14ac:dyDescent="0.25">
      <c r="A306" s="2">
        <v>43385</v>
      </c>
      <c r="B306" s="7">
        <v>2000</v>
      </c>
      <c r="C306" s="1" t="s">
        <v>5</v>
      </c>
      <c r="D306" s="1" t="s">
        <v>21</v>
      </c>
      <c r="E306" s="1" t="s">
        <v>25</v>
      </c>
      <c r="F306" s="9">
        <f>DATE(YEAR(Table1[[#This Row],[Date]]), MONTH(Table1[[#This Row],[Date]]), 1)</f>
        <v>43374</v>
      </c>
    </row>
    <row r="307" spans="1:6" x14ac:dyDescent="0.25">
      <c r="A307" s="2">
        <v>43389</v>
      </c>
      <c r="B307" s="7">
        <v>60</v>
      </c>
      <c r="C307" s="1" t="s">
        <v>6</v>
      </c>
      <c r="D307" s="1" t="s">
        <v>22</v>
      </c>
      <c r="E307" s="1" t="s">
        <v>32</v>
      </c>
      <c r="F307" s="9">
        <f>DATE(YEAR(Table1[[#This Row],[Date]]), MONTH(Table1[[#This Row],[Date]]), 1)</f>
        <v>43374</v>
      </c>
    </row>
    <row r="308" spans="1:6" x14ac:dyDescent="0.25">
      <c r="A308" s="2">
        <v>43390</v>
      </c>
      <c r="B308" s="7">
        <v>35</v>
      </c>
      <c r="C308" s="1" t="s">
        <v>6</v>
      </c>
      <c r="D308" s="1" t="s">
        <v>22</v>
      </c>
      <c r="E308" s="1" t="s">
        <v>32</v>
      </c>
      <c r="F308" s="9">
        <f>DATE(YEAR(Table1[[#This Row],[Date]]), MONTH(Table1[[#This Row],[Date]]), 1)</f>
        <v>43374</v>
      </c>
    </row>
    <row r="309" spans="1:6" x14ac:dyDescent="0.25">
      <c r="A309" s="2">
        <v>43391</v>
      </c>
      <c r="B309" s="7">
        <v>75</v>
      </c>
      <c r="C309" s="1" t="s">
        <v>6</v>
      </c>
      <c r="D309" s="1" t="s">
        <v>8</v>
      </c>
      <c r="E309" s="1" t="s">
        <v>32</v>
      </c>
      <c r="F309" s="9">
        <f>DATE(YEAR(Table1[[#This Row],[Date]]), MONTH(Table1[[#This Row],[Date]]), 1)</f>
        <v>43374</v>
      </c>
    </row>
    <row r="310" spans="1:6" x14ac:dyDescent="0.25">
      <c r="A310" s="2">
        <v>43391</v>
      </c>
      <c r="B310" s="7">
        <v>33.549999999999997</v>
      </c>
      <c r="C310" s="1" t="s">
        <v>6</v>
      </c>
      <c r="D310" s="1" t="s">
        <v>14</v>
      </c>
      <c r="E310" s="1" t="s">
        <v>26</v>
      </c>
      <c r="F310" s="9">
        <f>DATE(YEAR(Table1[[#This Row],[Date]]), MONTH(Table1[[#This Row],[Date]]), 1)</f>
        <v>43374</v>
      </c>
    </row>
    <row r="311" spans="1:6" x14ac:dyDescent="0.25">
      <c r="A311" s="2">
        <v>43391</v>
      </c>
      <c r="B311" s="7">
        <v>45.24</v>
      </c>
      <c r="C311" s="1" t="s">
        <v>6</v>
      </c>
      <c r="D311" s="1" t="s">
        <v>16</v>
      </c>
      <c r="E311" s="1" t="s">
        <v>26</v>
      </c>
      <c r="F311" s="9">
        <f>DATE(YEAR(Table1[[#This Row],[Date]]), MONTH(Table1[[#This Row],[Date]]), 1)</f>
        <v>43374</v>
      </c>
    </row>
    <row r="312" spans="1:6" x14ac:dyDescent="0.25">
      <c r="A312" s="2">
        <v>43391</v>
      </c>
      <c r="B312" s="7">
        <v>8</v>
      </c>
      <c r="C312" s="1" t="s">
        <v>6</v>
      </c>
      <c r="D312" s="1" t="s">
        <v>12</v>
      </c>
      <c r="E312" s="1" t="s">
        <v>26</v>
      </c>
      <c r="F312" s="9">
        <f>DATE(YEAR(Table1[[#This Row],[Date]]), MONTH(Table1[[#This Row],[Date]]), 1)</f>
        <v>43374</v>
      </c>
    </row>
    <row r="313" spans="1:6" x14ac:dyDescent="0.25">
      <c r="A313" s="2">
        <v>43395</v>
      </c>
      <c r="B313" s="7">
        <v>34.659999999999997</v>
      </c>
      <c r="C313" s="1" t="s">
        <v>6</v>
      </c>
      <c r="D313" s="1" t="s">
        <v>13</v>
      </c>
      <c r="E313" s="1" t="s">
        <v>26</v>
      </c>
      <c r="F313" s="9">
        <f>DATE(YEAR(Table1[[#This Row],[Date]]), MONTH(Table1[[#This Row],[Date]]), 1)</f>
        <v>43374</v>
      </c>
    </row>
    <row r="314" spans="1:6" x14ac:dyDescent="0.25">
      <c r="A314" s="2">
        <v>43396</v>
      </c>
      <c r="B314" s="7">
        <v>7.57</v>
      </c>
      <c r="C314" s="1" t="s">
        <v>6</v>
      </c>
      <c r="D314" s="1" t="s">
        <v>14</v>
      </c>
      <c r="E314" s="1" t="s">
        <v>26</v>
      </c>
      <c r="F314" s="9">
        <f>DATE(YEAR(Table1[[#This Row],[Date]]), MONTH(Table1[[#This Row],[Date]]), 1)</f>
        <v>43374</v>
      </c>
    </row>
    <row r="315" spans="1:6" x14ac:dyDescent="0.25">
      <c r="A315" s="2">
        <v>43398</v>
      </c>
      <c r="B315" s="7">
        <v>74.989999999999995</v>
      </c>
      <c r="C315" s="1" t="s">
        <v>6</v>
      </c>
      <c r="D315" s="1" t="s">
        <v>2</v>
      </c>
      <c r="E315" s="1" t="s">
        <v>32</v>
      </c>
      <c r="F315" s="9">
        <f>DATE(YEAR(Table1[[#This Row],[Date]]), MONTH(Table1[[#This Row],[Date]]), 1)</f>
        <v>43374</v>
      </c>
    </row>
    <row r="316" spans="1:6" x14ac:dyDescent="0.25">
      <c r="A316" s="2">
        <v>43398</v>
      </c>
      <c r="B316" s="7">
        <v>29.98</v>
      </c>
      <c r="C316" s="1" t="s">
        <v>6</v>
      </c>
      <c r="D316" s="1" t="s">
        <v>39</v>
      </c>
      <c r="E316" s="1" t="s">
        <v>26</v>
      </c>
      <c r="F316" s="9">
        <f>DATE(YEAR(Table1[[#This Row],[Date]]), MONTH(Table1[[#This Row],[Date]]), 1)</f>
        <v>43374</v>
      </c>
    </row>
    <row r="317" spans="1:6" x14ac:dyDescent="0.25">
      <c r="A317" s="2">
        <v>43399</v>
      </c>
      <c r="B317" s="7">
        <v>2000</v>
      </c>
      <c r="C317" s="1" t="s">
        <v>5</v>
      </c>
      <c r="D317" s="1" t="s">
        <v>21</v>
      </c>
      <c r="E317" s="1" t="s">
        <v>25</v>
      </c>
      <c r="F317" s="9">
        <f>DATE(YEAR(Table1[[#This Row],[Date]]), MONTH(Table1[[#This Row],[Date]]), 1)</f>
        <v>43374</v>
      </c>
    </row>
    <row r="318" spans="1:6" x14ac:dyDescent="0.25">
      <c r="A318" s="2">
        <v>43400</v>
      </c>
      <c r="B318" s="7">
        <v>25.4</v>
      </c>
      <c r="C318" s="1" t="s">
        <v>6</v>
      </c>
      <c r="D318" s="1" t="s">
        <v>12</v>
      </c>
      <c r="E318" s="1" t="s">
        <v>27</v>
      </c>
      <c r="F318" s="9">
        <f>DATE(YEAR(Table1[[#This Row],[Date]]), MONTH(Table1[[#This Row],[Date]]), 1)</f>
        <v>43374</v>
      </c>
    </row>
    <row r="319" spans="1:6" x14ac:dyDescent="0.25">
      <c r="A319" s="2">
        <v>43401</v>
      </c>
      <c r="B319" s="7">
        <v>12.71</v>
      </c>
      <c r="C319" s="1" t="s">
        <v>6</v>
      </c>
      <c r="D319" s="1" t="s">
        <v>7</v>
      </c>
      <c r="E319" s="1" t="s">
        <v>26</v>
      </c>
      <c r="F319" s="9">
        <f>DATE(YEAR(Table1[[#This Row],[Date]]), MONTH(Table1[[#This Row],[Date]]), 1)</f>
        <v>43374</v>
      </c>
    </row>
    <row r="320" spans="1:6" x14ac:dyDescent="0.25">
      <c r="A320" s="2">
        <v>43401</v>
      </c>
      <c r="B320" s="7">
        <v>14.75</v>
      </c>
      <c r="C320" s="1" t="s">
        <v>6</v>
      </c>
      <c r="D320" s="1" t="s">
        <v>12</v>
      </c>
      <c r="E320" s="1" t="s">
        <v>26</v>
      </c>
      <c r="F320" s="9">
        <f>DATE(YEAR(Table1[[#This Row],[Date]]), MONTH(Table1[[#This Row],[Date]]), 1)</f>
        <v>43374</v>
      </c>
    </row>
    <row r="321" spans="1:6" x14ac:dyDescent="0.25">
      <c r="A321" s="2">
        <v>43401</v>
      </c>
      <c r="B321" s="7">
        <v>92.49</v>
      </c>
      <c r="C321" s="1" t="s">
        <v>6</v>
      </c>
      <c r="D321" s="1" t="s">
        <v>14</v>
      </c>
      <c r="E321" s="1" t="s">
        <v>26</v>
      </c>
      <c r="F321" s="9">
        <f>DATE(YEAR(Table1[[#This Row],[Date]]), MONTH(Table1[[#This Row],[Date]]), 1)</f>
        <v>43374</v>
      </c>
    </row>
    <row r="322" spans="1:6" x14ac:dyDescent="0.25">
      <c r="A322" s="2">
        <v>43401</v>
      </c>
      <c r="B322" s="7">
        <v>54</v>
      </c>
      <c r="C322" s="1" t="s">
        <v>6</v>
      </c>
      <c r="D322" s="1" t="s">
        <v>12</v>
      </c>
      <c r="E322" s="1" t="s">
        <v>26</v>
      </c>
      <c r="F322" s="9">
        <f>DATE(YEAR(Table1[[#This Row],[Date]]), MONTH(Table1[[#This Row],[Date]]), 1)</f>
        <v>43374</v>
      </c>
    </row>
    <row r="323" spans="1:6" x14ac:dyDescent="0.25">
      <c r="A323" s="2">
        <v>43404</v>
      </c>
      <c r="B323" s="7">
        <v>5.64</v>
      </c>
      <c r="C323" s="1" t="s">
        <v>6</v>
      </c>
      <c r="D323" s="1" t="s">
        <v>14</v>
      </c>
      <c r="E323" s="1" t="s">
        <v>26</v>
      </c>
      <c r="F323" s="9">
        <f>DATE(YEAR(Table1[[#This Row],[Date]]), MONTH(Table1[[#This Row],[Date]]), 1)</f>
        <v>43374</v>
      </c>
    </row>
    <row r="324" spans="1:6" x14ac:dyDescent="0.25">
      <c r="A324" s="2">
        <v>43405</v>
      </c>
      <c r="B324" s="7">
        <v>13.13</v>
      </c>
      <c r="C324" s="1" t="s">
        <v>6</v>
      </c>
      <c r="D324" s="1" t="s">
        <v>39</v>
      </c>
      <c r="E324" s="1" t="s">
        <v>26</v>
      </c>
      <c r="F324" s="9">
        <f>DATE(YEAR(Table1[[#This Row],[Date]]), MONTH(Table1[[#This Row],[Date]]), 1)</f>
        <v>43405</v>
      </c>
    </row>
    <row r="325" spans="1:6" x14ac:dyDescent="0.25">
      <c r="A325" s="2">
        <v>43406</v>
      </c>
      <c r="B325" s="7">
        <v>1209.18</v>
      </c>
      <c r="C325" s="1" t="s">
        <v>6</v>
      </c>
      <c r="D325" s="1" t="s">
        <v>18</v>
      </c>
      <c r="E325" s="1" t="s">
        <v>32</v>
      </c>
      <c r="F325" s="9">
        <f>DATE(YEAR(Table1[[#This Row],[Date]]), MONTH(Table1[[#This Row],[Date]]), 1)</f>
        <v>43405</v>
      </c>
    </row>
    <row r="326" spans="1:6" x14ac:dyDescent="0.25">
      <c r="A326" s="2">
        <v>43407</v>
      </c>
      <c r="B326" s="7">
        <v>23.66</v>
      </c>
      <c r="C326" s="1" t="s">
        <v>6</v>
      </c>
      <c r="D326" s="1" t="s">
        <v>1</v>
      </c>
      <c r="E326" s="1" t="s">
        <v>26</v>
      </c>
      <c r="F326" s="9">
        <f>DATE(YEAR(Table1[[#This Row],[Date]]), MONTH(Table1[[#This Row],[Date]]), 1)</f>
        <v>43405</v>
      </c>
    </row>
    <row r="327" spans="1:6" x14ac:dyDescent="0.25">
      <c r="A327" s="2">
        <v>43408</v>
      </c>
      <c r="B327" s="7">
        <v>11.76</v>
      </c>
      <c r="C327" s="1" t="s">
        <v>6</v>
      </c>
      <c r="D327" s="1" t="s">
        <v>19</v>
      </c>
      <c r="E327" s="1" t="s">
        <v>26</v>
      </c>
      <c r="F327" s="9">
        <f>DATE(YEAR(Table1[[#This Row],[Date]]), MONTH(Table1[[#This Row],[Date]]), 1)</f>
        <v>43405</v>
      </c>
    </row>
    <row r="328" spans="1:6" x14ac:dyDescent="0.25">
      <c r="A328" s="2">
        <v>43409</v>
      </c>
      <c r="B328" s="7">
        <v>36.51</v>
      </c>
      <c r="C328" s="1" t="s">
        <v>6</v>
      </c>
      <c r="D328" s="1" t="s">
        <v>13</v>
      </c>
      <c r="E328" s="1" t="s">
        <v>26</v>
      </c>
      <c r="F328" s="9">
        <f>DATE(YEAR(Table1[[#This Row],[Date]]), MONTH(Table1[[#This Row],[Date]]), 1)</f>
        <v>43405</v>
      </c>
    </row>
    <row r="329" spans="1:6" x14ac:dyDescent="0.25">
      <c r="A329" s="2">
        <v>43410</v>
      </c>
      <c r="B329" s="7">
        <v>53.95</v>
      </c>
      <c r="C329" s="1" t="s">
        <v>6</v>
      </c>
      <c r="D329" s="1" t="s">
        <v>39</v>
      </c>
      <c r="E329" s="1" t="s">
        <v>26</v>
      </c>
      <c r="F329" s="9">
        <f>DATE(YEAR(Table1[[#This Row],[Date]]), MONTH(Table1[[#This Row],[Date]]), 1)</f>
        <v>43405</v>
      </c>
    </row>
    <row r="330" spans="1:6" x14ac:dyDescent="0.25">
      <c r="A330" s="2">
        <v>43410</v>
      </c>
      <c r="B330" s="7">
        <v>30</v>
      </c>
      <c r="C330" s="1" t="s">
        <v>6</v>
      </c>
      <c r="D330" s="1" t="s">
        <v>22</v>
      </c>
      <c r="E330" s="1" t="s">
        <v>32</v>
      </c>
      <c r="F330" s="9">
        <f>DATE(YEAR(Table1[[#This Row],[Date]]), MONTH(Table1[[#This Row],[Date]]), 1)</f>
        <v>43405</v>
      </c>
    </row>
    <row r="331" spans="1:6" x14ac:dyDescent="0.25">
      <c r="A331" s="2">
        <v>43412</v>
      </c>
      <c r="B331" s="7">
        <v>5.64</v>
      </c>
      <c r="C331" s="1" t="s">
        <v>6</v>
      </c>
      <c r="D331" s="1" t="s">
        <v>14</v>
      </c>
      <c r="E331" s="1" t="s">
        <v>26</v>
      </c>
      <c r="F331" s="9">
        <f>DATE(YEAR(Table1[[#This Row],[Date]]), MONTH(Table1[[#This Row],[Date]]), 1)</f>
        <v>43405</v>
      </c>
    </row>
    <row r="332" spans="1:6" x14ac:dyDescent="0.25">
      <c r="A332" s="2">
        <v>43413</v>
      </c>
      <c r="B332" s="7">
        <v>10.69</v>
      </c>
      <c r="C332" s="1" t="s">
        <v>6</v>
      </c>
      <c r="D332" s="1" t="s">
        <v>20</v>
      </c>
      <c r="E332" s="1" t="s">
        <v>26</v>
      </c>
      <c r="F332" s="9">
        <f>DATE(YEAR(Table1[[#This Row],[Date]]), MONTH(Table1[[#This Row],[Date]]), 1)</f>
        <v>43405</v>
      </c>
    </row>
    <row r="333" spans="1:6" x14ac:dyDescent="0.25">
      <c r="A333" s="2">
        <v>43413</v>
      </c>
      <c r="B333" s="7">
        <v>2000</v>
      </c>
      <c r="C333" s="1" t="s">
        <v>5</v>
      </c>
      <c r="D333" s="1" t="s">
        <v>21</v>
      </c>
      <c r="E333" s="1" t="s">
        <v>25</v>
      </c>
      <c r="F333" s="9">
        <f>DATE(YEAR(Table1[[#This Row],[Date]]), MONTH(Table1[[#This Row],[Date]]), 1)</f>
        <v>43405</v>
      </c>
    </row>
    <row r="334" spans="1:6" x14ac:dyDescent="0.25">
      <c r="A334" s="2">
        <v>43414</v>
      </c>
      <c r="B334" s="7">
        <v>27</v>
      </c>
      <c r="C334" s="1" t="s">
        <v>6</v>
      </c>
      <c r="D334" s="1" t="s">
        <v>7</v>
      </c>
      <c r="E334" s="1" t="s">
        <v>26</v>
      </c>
      <c r="F334" s="9">
        <f>DATE(YEAR(Table1[[#This Row],[Date]]), MONTH(Table1[[#This Row],[Date]]), 1)</f>
        <v>43405</v>
      </c>
    </row>
    <row r="335" spans="1:6" x14ac:dyDescent="0.25">
      <c r="A335" s="2">
        <v>43414</v>
      </c>
      <c r="B335" s="7">
        <v>14.19</v>
      </c>
      <c r="C335" s="1" t="s">
        <v>6</v>
      </c>
      <c r="D335" s="1" t="s">
        <v>1</v>
      </c>
      <c r="E335" s="1" t="s">
        <v>26</v>
      </c>
      <c r="F335" s="9">
        <f>DATE(YEAR(Table1[[#This Row],[Date]]), MONTH(Table1[[#This Row],[Date]]), 1)</f>
        <v>43405</v>
      </c>
    </row>
    <row r="336" spans="1:6" x14ac:dyDescent="0.25">
      <c r="A336" s="2">
        <v>43414</v>
      </c>
      <c r="B336" s="7">
        <v>24.4</v>
      </c>
      <c r="C336" s="1" t="s">
        <v>6</v>
      </c>
      <c r="D336" s="1" t="s">
        <v>14</v>
      </c>
      <c r="E336" s="1" t="s">
        <v>26</v>
      </c>
      <c r="F336" s="9">
        <f>DATE(YEAR(Table1[[#This Row],[Date]]), MONTH(Table1[[#This Row],[Date]]), 1)</f>
        <v>43405</v>
      </c>
    </row>
    <row r="337" spans="1:6" x14ac:dyDescent="0.25">
      <c r="A337" s="2">
        <v>43416</v>
      </c>
      <c r="B337" s="7">
        <v>10.18</v>
      </c>
      <c r="C337" s="1" t="s">
        <v>6</v>
      </c>
      <c r="D337" s="1" t="s">
        <v>14</v>
      </c>
      <c r="E337" s="1" t="s">
        <v>26</v>
      </c>
      <c r="F337" s="9">
        <f>DATE(YEAR(Table1[[#This Row],[Date]]), MONTH(Table1[[#This Row],[Date]]), 1)</f>
        <v>43405</v>
      </c>
    </row>
    <row r="338" spans="1:6" x14ac:dyDescent="0.25">
      <c r="A338" s="2">
        <v>43416</v>
      </c>
      <c r="B338" s="7">
        <v>22.33</v>
      </c>
      <c r="C338" s="1" t="s">
        <v>6</v>
      </c>
      <c r="D338" s="1" t="s">
        <v>12</v>
      </c>
      <c r="E338" s="1" t="s">
        <v>27</v>
      </c>
      <c r="F338" s="9">
        <f>DATE(YEAR(Table1[[#This Row],[Date]]), MONTH(Table1[[#This Row],[Date]]), 1)</f>
        <v>43405</v>
      </c>
    </row>
    <row r="339" spans="1:6" x14ac:dyDescent="0.25">
      <c r="A339" s="2">
        <v>43417</v>
      </c>
      <c r="B339" s="7">
        <v>4.8</v>
      </c>
      <c r="C339" s="1" t="s">
        <v>6</v>
      </c>
      <c r="D339" s="1" t="s">
        <v>14</v>
      </c>
      <c r="E339" s="1" t="s">
        <v>26</v>
      </c>
      <c r="F339" s="9">
        <f>DATE(YEAR(Table1[[#This Row],[Date]]), MONTH(Table1[[#This Row],[Date]]), 1)</f>
        <v>43405</v>
      </c>
    </row>
    <row r="340" spans="1:6" x14ac:dyDescent="0.25">
      <c r="A340" s="2">
        <v>43417</v>
      </c>
      <c r="B340" s="7">
        <v>37.43</v>
      </c>
      <c r="C340" s="1" t="s">
        <v>6</v>
      </c>
      <c r="D340" s="1" t="s">
        <v>14</v>
      </c>
      <c r="E340" s="1" t="s">
        <v>26</v>
      </c>
      <c r="F340" s="9">
        <f>DATE(YEAR(Table1[[#This Row],[Date]]), MONTH(Table1[[#This Row],[Date]]), 1)</f>
        <v>43405</v>
      </c>
    </row>
    <row r="341" spans="1:6" x14ac:dyDescent="0.25">
      <c r="A341" s="2">
        <v>43417</v>
      </c>
      <c r="B341" s="7">
        <v>10.15</v>
      </c>
      <c r="C341" s="1" t="s">
        <v>6</v>
      </c>
      <c r="D341" s="1" t="s">
        <v>14</v>
      </c>
      <c r="E341" s="1" t="s">
        <v>26</v>
      </c>
      <c r="F341" s="9">
        <f>DATE(YEAR(Table1[[#This Row],[Date]]), MONTH(Table1[[#This Row],[Date]]), 1)</f>
        <v>43405</v>
      </c>
    </row>
    <row r="342" spans="1:6" x14ac:dyDescent="0.25">
      <c r="A342" s="2">
        <v>43417</v>
      </c>
      <c r="B342" s="7">
        <v>89.54</v>
      </c>
      <c r="C342" s="1" t="s">
        <v>6</v>
      </c>
      <c r="D342" s="1" t="s">
        <v>17</v>
      </c>
      <c r="E342" s="1" t="s">
        <v>32</v>
      </c>
      <c r="F342" s="9">
        <f>DATE(YEAR(Table1[[#This Row],[Date]]), MONTH(Table1[[#This Row],[Date]]), 1)</f>
        <v>43405</v>
      </c>
    </row>
    <row r="343" spans="1:6" x14ac:dyDescent="0.25">
      <c r="A343" s="2">
        <v>43418</v>
      </c>
      <c r="B343" s="7">
        <v>60</v>
      </c>
      <c r="C343" s="1" t="s">
        <v>6</v>
      </c>
      <c r="D343" s="1" t="s">
        <v>22</v>
      </c>
      <c r="E343" s="1" t="s">
        <v>32</v>
      </c>
      <c r="F343" s="9">
        <f>DATE(YEAR(Table1[[#This Row],[Date]]), MONTH(Table1[[#This Row],[Date]]), 1)</f>
        <v>43405</v>
      </c>
    </row>
    <row r="344" spans="1:6" x14ac:dyDescent="0.25">
      <c r="A344" s="2">
        <v>43420</v>
      </c>
      <c r="B344" s="7">
        <v>35</v>
      </c>
      <c r="C344" s="1" t="s">
        <v>6</v>
      </c>
      <c r="D344" s="1" t="s">
        <v>22</v>
      </c>
      <c r="E344" s="1" t="s">
        <v>32</v>
      </c>
      <c r="F344" s="9">
        <f>DATE(YEAR(Table1[[#This Row],[Date]]), MONTH(Table1[[#This Row],[Date]]), 1)</f>
        <v>43405</v>
      </c>
    </row>
    <row r="345" spans="1:6" x14ac:dyDescent="0.25">
      <c r="A345" s="2">
        <v>43421</v>
      </c>
      <c r="B345" s="7">
        <v>22.8</v>
      </c>
      <c r="C345" s="1" t="s">
        <v>6</v>
      </c>
      <c r="D345" s="1" t="s">
        <v>7</v>
      </c>
      <c r="E345" s="1" t="s">
        <v>26</v>
      </c>
      <c r="F345" s="9">
        <f>DATE(YEAR(Table1[[#This Row],[Date]]), MONTH(Table1[[#This Row],[Date]]), 1)</f>
        <v>43405</v>
      </c>
    </row>
    <row r="346" spans="1:6" x14ac:dyDescent="0.25">
      <c r="A346" s="2">
        <v>43421</v>
      </c>
      <c r="B346" s="7">
        <v>15.47</v>
      </c>
      <c r="C346" s="1" t="s">
        <v>6</v>
      </c>
      <c r="D346" s="1" t="s">
        <v>16</v>
      </c>
      <c r="E346" s="1" t="s">
        <v>26</v>
      </c>
      <c r="F346" s="9">
        <f>DATE(YEAR(Table1[[#This Row],[Date]]), MONTH(Table1[[#This Row],[Date]]), 1)</f>
        <v>43405</v>
      </c>
    </row>
    <row r="347" spans="1:6" x14ac:dyDescent="0.25">
      <c r="A347" s="2">
        <v>43421</v>
      </c>
      <c r="B347" s="7">
        <v>6.4</v>
      </c>
      <c r="C347" s="1" t="s">
        <v>6</v>
      </c>
      <c r="D347" s="1" t="s">
        <v>16</v>
      </c>
      <c r="E347" s="1" t="s">
        <v>26</v>
      </c>
      <c r="F347" s="9">
        <f>DATE(YEAR(Table1[[#This Row],[Date]]), MONTH(Table1[[#This Row],[Date]]), 1)</f>
        <v>43405</v>
      </c>
    </row>
    <row r="348" spans="1:6" x14ac:dyDescent="0.25">
      <c r="A348" s="2">
        <v>43421</v>
      </c>
      <c r="B348" s="7">
        <v>23.26</v>
      </c>
      <c r="C348" s="1" t="s">
        <v>6</v>
      </c>
      <c r="D348" s="1" t="s">
        <v>12</v>
      </c>
      <c r="E348" s="1" t="s">
        <v>26</v>
      </c>
      <c r="F348" s="9">
        <f>DATE(YEAR(Table1[[#This Row],[Date]]), MONTH(Table1[[#This Row],[Date]]), 1)</f>
        <v>43405</v>
      </c>
    </row>
    <row r="349" spans="1:6" x14ac:dyDescent="0.25">
      <c r="A349" s="2">
        <v>43423</v>
      </c>
      <c r="B349" s="7">
        <v>20</v>
      </c>
      <c r="C349" s="1" t="s">
        <v>6</v>
      </c>
      <c r="D349" s="1" t="s">
        <v>7</v>
      </c>
      <c r="E349" s="1" t="s">
        <v>27</v>
      </c>
      <c r="F349" s="9">
        <f>DATE(YEAR(Table1[[#This Row],[Date]]), MONTH(Table1[[#This Row],[Date]]), 1)</f>
        <v>43405</v>
      </c>
    </row>
    <row r="350" spans="1:6" x14ac:dyDescent="0.25">
      <c r="A350" s="2">
        <v>43423</v>
      </c>
      <c r="B350" s="7">
        <v>29.15</v>
      </c>
      <c r="C350" s="1" t="s">
        <v>6</v>
      </c>
      <c r="D350" s="1" t="s">
        <v>13</v>
      </c>
      <c r="E350" s="1" t="s">
        <v>27</v>
      </c>
      <c r="F350" s="9">
        <f>DATE(YEAR(Table1[[#This Row],[Date]]), MONTH(Table1[[#This Row],[Date]]), 1)</f>
        <v>43405</v>
      </c>
    </row>
    <row r="351" spans="1:6" x14ac:dyDescent="0.25">
      <c r="A351" s="2">
        <v>43423</v>
      </c>
      <c r="B351" s="7">
        <v>10.02</v>
      </c>
      <c r="C351" s="1" t="s">
        <v>6</v>
      </c>
      <c r="D351" s="1" t="s">
        <v>16</v>
      </c>
      <c r="E351" s="1" t="s">
        <v>27</v>
      </c>
      <c r="F351" s="9">
        <f>DATE(YEAR(Table1[[#This Row],[Date]]), MONTH(Table1[[#This Row],[Date]]), 1)</f>
        <v>43405</v>
      </c>
    </row>
    <row r="352" spans="1:6" x14ac:dyDescent="0.25">
      <c r="A352" s="2">
        <v>43424</v>
      </c>
      <c r="B352" s="7">
        <v>75</v>
      </c>
      <c r="C352" s="1" t="s">
        <v>6</v>
      </c>
      <c r="D352" s="1" t="s">
        <v>8</v>
      </c>
      <c r="E352" s="1" t="s">
        <v>32</v>
      </c>
      <c r="F352" s="9">
        <f>DATE(YEAR(Table1[[#This Row],[Date]]), MONTH(Table1[[#This Row],[Date]]), 1)</f>
        <v>43405</v>
      </c>
    </row>
    <row r="353" spans="1:6" x14ac:dyDescent="0.25">
      <c r="A353" s="2">
        <v>43425</v>
      </c>
      <c r="B353" s="7">
        <v>5.64</v>
      </c>
      <c r="C353" s="1" t="s">
        <v>6</v>
      </c>
      <c r="D353" s="1" t="s">
        <v>14</v>
      </c>
      <c r="E353" s="1" t="s">
        <v>27</v>
      </c>
      <c r="F353" s="9">
        <f>DATE(YEAR(Table1[[#This Row],[Date]]), MONTH(Table1[[#This Row],[Date]]), 1)</f>
        <v>43405</v>
      </c>
    </row>
    <row r="354" spans="1:6" x14ac:dyDescent="0.25">
      <c r="A354" s="2">
        <v>43425</v>
      </c>
      <c r="B354" s="7">
        <v>37.409999999999997</v>
      </c>
      <c r="C354" s="1" t="s">
        <v>6</v>
      </c>
      <c r="D354" s="1" t="s">
        <v>16</v>
      </c>
      <c r="E354" s="1" t="s">
        <v>26</v>
      </c>
      <c r="F354" s="9">
        <f>DATE(YEAR(Table1[[#This Row],[Date]]), MONTH(Table1[[#This Row],[Date]]), 1)</f>
        <v>43405</v>
      </c>
    </row>
    <row r="355" spans="1:6" x14ac:dyDescent="0.25">
      <c r="A355" s="2">
        <v>43427</v>
      </c>
      <c r="B355" s="7">
        <v>2000</v>
      </c>
      <c r="C355" s="1" t="s">
        <v>5</v>
      </c>
      <c r="D355" s="1" t="s">
        <v>21</v>
      </c>
      <c r="E355" s="1" t="s">
        <v>25</v>
      </c>
      <c r="F355" s="9">
        <f>DATE(YEAR(Table1[[#This Row],[Date]]), MONTH(Table1[[#This Row],[Date]]), 1)</f>
        <v>43405</v>
      </c>
    </row>
    <row r="356" spans="1:6" x14ac:dyDescent="0.25">
      <c r="A356" s="2">
        <v>43430</v>
      </c>
      <c r="B356" s="7">
        <v>16.8</v>
      </c>
      <c r="C356" s="1" t="s">
        <v>6</v>
      </c>
      <c r="D356" s="1" t="s">
        <v>7</v>
      </c>
      <c r="E356" s="1" t="s">
        <v>27</v>
      </c>
      <c r="F356" s="9">
        <f>DATE(YEAR(Table1[[#This Row],[Date]]), MONTH(Table1[[#This Row],[Date]]), 1)</f>
        <v>43405</v>
      </c>
    </row>
    <row r="357" spans="1:6" x14ac:dyDescent="0.25">
      <c r="A357" s="2">
        <v>43430</v>
      </c>
      <c r="B357" s="7">
        <v>74.989999999999995</v>
      </c>
      <c r="C357" s="1" t="s">
        <v>6</v>
      </c>
      <c r="D357" s="1" t="s">
        <v>2</v>
      </c>
      <c r="E357" s="1" t="s">
        <v>32</v>
      </c>
      <c r="F357" s="9">
        <f>DATE(YEAR(Table1[[#This Row],[Date]]), MONTH(Table1[[#This Row],[Date]]), 1)</f>
        <v>43405</v>
      </c>
    </row>
    <row r="358" spans="1:6" x14ac:dyDescent="0.25">
      <c r="A358" s="2">
        <v>43431</v>
      </c>
      <c r="B358" s="7">
        <v>17</v>
      </c>
      <c r="C358" s="1" t="s">
        <v>6</v>
      </c>
      <c r="D358" s="1" t="s">
        <v>19</v>
      </c>
      <c r="E358" s="1" t="s">
        <v>27</v>
      </c>
      <c r="F358" s="9">
        <f>DATE(YEAR(Table1[[#This Row],[Date]]), MONTH(Table1[[#This Row],[Date]]), 1)</f>
        <v>43405</v>
      </c>
    </row>
    <row r="359" spans="1:6" x14ac:dyDescent="0.25">
      <c r="A359" s="2">
        <v>43431</v>
      </c>
      <c r="B359" s="7">
        <v>28.4</v>
      </c>
      <c r="C359" s="1" t="s">
        <v>6</v>
      </c>
      <c r="D359" s="1" t="s">
        <v>12</v>
      </c>
      <c r="E359" s="1" t="s">
        <v>27</v>
      </c>
      <c r="F359" s="9">
        <f>DATE(YEAR(Table1[[#This Row],[Date]]), MONTH(Table1[[#This Row],[Date]]), 1)</f>
        <v>43405</v>
      </c>
    </row>
    <row r="360" spans="1:6" x14ac:dyDescent="0.25">
      <c r="A360" s="2">
        <v>43434</v>
      </c>
      <c r="B360" s="7">
        <v>6.27</v>
      </c>
      <c r="C360" s="1" t="s">
        <v>6</v>
      </c>
      <c r="D360" s="1" t="s">
        <v>14</v>
      </c>
      <c r="E360" s="1" t="s">
        <v>27</v>
      </c>
      <c r="F360" s="9">
        <f>DATE(YEAR(Table1[[#This Row],[Date]]), MONTH(Table1[[#This Row],[Date]]), 1)</f>
        <v>43405</v>
      </c>
    </row>
    <row r="361" spans="1:6" x14ac:dyDescent="0.25">
      <c r="A361" s="2">
        <v>43435</v>
      </c>
      <c r="B361" s="7">
        <v>5.64</v>
      </c>
      <c r="C361" s="1" t="s">
        <v>6</v>
      </c>
      <c r="D361" s="1" t="s">
        <v>14</v>
      </c>
      <c r="E361" s="1" t="s">
        <v>27</v>
      </c>
      <c r="F361" s="9">
        <f>DATE(YEAR(Table1[[#This Row],[Date]]), MONTH(Table1[[#This Row],[Date]]), 1)</f>
        <v>43435</v>
      </c>
    </row>
    <row r="362" spans="1:6" x14ac:dyDescent="0.25">
      <c r="A362" s="2">
        <v>43435</v>
      </c>
      <c r="B362" s="7">
        <v>8</v>
      </c>
      <c r="C362" s="1" t="s">
        <v>6</v>
      </c>
      <c r="D362" s="1" t="s">
        <v>12</v>
      </c>
      <c r="E362" s="1" t="s">
        <v>27</v>
      </c>
      <c r="F362" s="9">
        <f>DATE(YEAR(Table1[[#This Row],[Date]]), MONTH(Table1[[#This Row],[Date]]), 1)</f>
        <v>43435</v>
      </c>
    </row>
    <row r="363" spans="1:6" x14ac:dyDescent="0.25">
      <c r="A363" s="2">
        <v>43435</v>
      </c>
      <c r="B363" s="7">
        <v>13.13</v>
      </c>
      <c r="C363" s="1" t="s">
        <v>6</v>
      </c>
      <c r="D363" s="1" t="s">
        <v>39</v>
      </c>
      <c r="E363" s="1" t="s">
        <v>26</v>
      </c>
      <c r="F363" s="9">
        <f>DATE(YEAR(Table1[[#This Row],[Date]]), MONTH(Table1[[#This Row],[Date]]), 1)</f>
        <v>43435</v>
      </c>
    </row>
    <row r="364" spans="1:6" x14ac:dyDescent="0.25">
      <c r="A364" s="2">
        <v>43437</v>
      </c>
      <c r="B364" s="7">
        <v>30.03</v>
      </c>
      <c r="C364" s="1" t="s">
        <v>6</v>
      </c>
      <c r="D364" s="1" t="s">
        <v>13</v>
      </c>
      <c r="E364" s="1" t="s">
        <v>27</v>
      </c>
      <c r="F364" s="9">
        <f>DATE(YEAR(Table1[[#This Row],[Date]]), MONTH(Table1[[#This Row],[Date]]), 1)</f>
        <v>43435</v>
      </c>
    </row>
    <row r="365" spans="1:6" x14ac:dyDescent="0.25">
      <c r="A365" s="2">
        <v>43437</v>
      </c>
      <c r="B365" s="7">
        <v>148.15</v>
      </c>
      <c r="C365" s="1" t="s">
        <v>6</v>
      </c>
      <c r="D365" s="1" t="s">
        <v>14</v>
      </c>
      <c r="E365" s="1" t="s">
        <v>27</v>
      </c>
      <c r="F365" s="9">
        <f>DATE(YEAR(Table1[[#This Row],[Date]]), MONTH(Table1[[#This Row],[Date]]), 1)</f>
        <v>43435</v>
      </c>
    </row>
    <row r="366" spans="1:6" x14ac:dyDescent="0.25">
      <c r="A366" s="2">
        <v>43437</v>
      </c>
      <c r="B366" s="7">
        <v>1209.18</v>
      </c>
      <c r="C366" s="1" t="s">
        <v>6</v>
      </c>
      <c r="D366" s="1" t="s">
        <v>18</v>
      </c>
      <c r="E366" s="1" t="s">
        <v>32</v>
      </c>
      <c r="F366" s="9">
        <f>DATE(YEAR(Table1[[#This Row],[Date]]), MONTH(Table1[[#This Row],[Date]]), 1)</f>
        <v>43435</v>
      </c>
    </row>
    <row r="367" spans="1:6" x14ac:dyDescent="0.25">
      <c r="A367" s="2">
        <v>43438</v>
      </c>
      <c r="B367" s="7">
        <v>3</v>
      </c>
      <c r="C367" s="1" t="s">
        <v>6</v>
      </c>
      <c r="D367" s="1" t="s">
        <v>9</v>
      </c>
      <c r="E367" s="1" t="s">
        <v>27</v>
      </c>
      <c r="F367" s="9">
        <f>DATE(YEAR(Table1[[#This Row],[Date]]), MONTH(Table1[[#This Row],[Date]]), 1)</f>
        <v>43435</v>
      </c>
    </row>
    <row r="368" spans="1:6" x14ac:dyDescent="0.25">
      <c r="A368" s="2">
        <v>43438</v>
      </c>
      <c r="B368" s="7">
        <v>20.65</v>
      </c>
      <c r="C368" s="1" t="s">
        <v>6</v>
      </c>
      <c r="D368" s="1" t="s">
        <v>1</v>
      </c>
      <c r="E368" s="1" t="s">
        <v>26</v>
      </c>
      <c r="F368" s="9">
        <f>DATE(YEAR(Table1[[#This Row],[Date]]), MONTH(Table1[[#This Row],[Date]]), 1)</f>
        <v>43435</v>
      </c>
    </row>
    <row r="369" spans="1:6" x14ac:dyDescent="0.25">
      <c r="A369" s="2">
        <v>43438</v>
      </c>
      <c r="B369" s="7">
        <v>11.76</v>
      </c>
      <c r="C369" s="1" t="s">
        <v>6</v>
      </c>
      <c r="D369" s="1" t="s">
        <v>19</v>
      </c>
      <c r="E369" s="1" t="s">
        <v>26</v>
      </c>
      <c r="F369" s="9">
        <f>DATE(YEAR(Table1[[#This Row],[Date]]), MONTH(Table1[[#This Row],[Date]]), 1)</f>
        <v>43435</v>
      </c>
    </row>
    <row r="370" spans="1:6" x14ac:dyDescent="0.25">
      <c r="A370" s="2">
        <v>43440</v>
      </c>
      <c r="B370" s="7">
        <v>21.38</v>
      </c>
      <c r="C370" s="1" t="s">
        <v>6</v>
      </c>
      <c r="D370" s="1" t="s">
        <v>14</v>
      </c>
      <c r="E370" s="1" t="s">
        <v>26</v>
      </c>
      <c r="F370" s="9">
        <f>DATE(YEAR(Table1[[#This Row],[Date]]), MONTH(Table1[[#This Row],[Date]]), 1)</f>
        <v>43435</v>
      </c>
    </row>
    <row r="371" spans="1:6" x14ac:dyDescent="0.25">
      <c r="A371" s="2">
        <v>43440</v>
      </c>
      <c r="B371" s="7">
        <v>13.48</v>
      </c>
      <c r="C371" s="1" t="s">
        <v>6</v>
      </c>
      <c r="D371" s="1" t="s">
        <v>14</v>
      </c>
      <c r="E371" s="1" t="s">
        <v>26</v>
      </c>
      <c r="F371" s="9">
        <f>DATE(YEAR(Table1[[#This Row],[Date]]), MONTH(Table1[[#This Row],[Date]]), 1)</f>
        <v>43435</v>
      </c>
    </row>
    <row r="372" spans="1:6" x14ac:dyDescent="0.25">
      <c r="A372" s="2">
        <v>43440</v>
      </c>
      <c r="B372" s="7">
        <v>40</v>
      </c>
      <c r="C372" s="1" t="s">
        <v>6</v>
      </c>
      <c r="D372" s="1" t="s">
        <v>22</v>
      </c>
      <c r="E372" s="1" t="s">
        <v>32</v>
      </c>
      <c r="F372" s="9">
        <f>DATE(YEAR(Table1[[#This Row],[Date]]), MONTH(Table1[[#This Row],[Date]]), 1)</f>
        <v>43435</v>
      </c>
    </row>
    <row r="373" spans="1:6" x14ac:dyDescent="0.25">
      <c r="A373" s="2">
        <v>43441</v>
      </c>
      <c r="B373" s="7">
        <v>30</v>
      </c>
      <c r="C373" s="1" t="s">
        <v>6</v>
      </c>
      <c r="D373" s="1" t="s">
        <v>15</v>
      </c>
      <c r="E373" s="1" t="s">
        <v>26</v>
      </c>
      <c r="F373" s="9">
        <f>DATE(YEAR(Table1[[#This Row],[Date]]), MONTH(Table1[[#This Row],[Date]]), 1)</f>
        <v>43435</v>
      </c>
    </row>
    <row r="374" spans="1:6" x14ac:dyDescent="0.25">
      <c r="A374" s="2">
        <v>43441</v>
      </c>
      <c r="B374" s="7">
        <v>2000</v>
      </c>
      <c r="C374" s="1" t="s">
        <v>5</v>
      </c>
      <c r="D374" s="1" t="s">
        <v>21</v>
      </c>
      <c r="E374" s="1" t="s">
        <v>25</v>
      </c>
      <c r="F374" s="9">
        <f>DATE(YEAR(Table1[[#This Row],[Date]]), MONTH(Table1[[#This Row],[Date]]), 1)</f>
        <v>43435</v>
      </c>
    </row>
    <row r="375" spans="1:6" x14ac:dyDescent="0.25">
      <c r="A375" s="2">
        <v>43442</v>
      </c>
      <c r="B375" s="7">
        <v>12.64</v>
      </c>
      <c r="C375" s="1" t="s">
        <v>6</v>
      </c>
      <c r="D375" s="1" t="s">
        <v>14</v>
      </c>
      <c r="E375" s="1" t="s">
        <v>26</v>
      </c>
      <c r="F375" s="9">
        <f>DATE(YEAR(Table1[[#This Row],[Date]]), MONTH(Table1[[#This Row],[Date]]), 1)</f>
        <v>43435</v>
      </c>
    </row>
    <row r="376" spans="1:6" x14ac:dyDescent="0.25">
      <c r="A376" s="2">
        <v>43443</v>
      </c>
      <c r="B376" s="7">
        <v>10.69</v>
      </c>
      <c r="C376" s="1" t="s">
        <v>6</v>
      </c>
      <c r="D376" s="1" t="s">
        <v>20</v>
      </c>
      <c r="E376" s="1" t="s">
        <v>26</v>
      </c>
      <c r="F376" s="9">
        <f>DATE(YEAR(Table1[[#This Row],[Date]]), MONTH(Table1[[#This Row],[Date]]), 1)</f>
        <v>43435</v>
      </c>
    </row>
    <row r="377" spans="1:6" x14ac:dyDescent="0.25">
      <c r="A377" s="2">
        <v>43445</v>
      </c>
      <c r="B377" s="7">
        <v>10.29</v>
      </c>
      <c r="C377" s="1" t="s">
        <v>6</v>
      </c>
      <c r="D377" s="1" t="s">
        <v>12</v>
      </c>
      <c r="E377" s="1" t="s">
        <v>26</v>
      </c>
      <c r="F377" s="9">
        <f>DATE(YEAR(Table1[[#This Row],[Date]]), MONTH(Table1[[#This Row],[Date]]), 1)</f>
        <v>43435</v>
      </c>
    </row>
    <row r="378" spans="1:6" x14ac:dyDescent="0.25">
      <c r="A378" s="2">
        <v>43446</v>
      </c>
      <c r="B378" s="7">
        <v>89.54</v>
      </c>
      <c r="C378" s="1" t="s">
        <v>6</v>
      </c>
      <c r="D378" s="1" t="s">
        <v>17</v>
      </c>
      <c r="E378" s="1" t="s">
        <v>32</v>
      </c>
      <c r="F378" s="9">
        <f>DATE(YEAR(Table1[[#This Row],[Date]]), MONTH(Table1[[#This Row],[Date]]), 1)</f>
        <v>43435</v>
      </c>
    </row>
    <row r="379" spans="1:6" x14ac:dyDescent="0.25">
      <c r="A379" s="2">
        <v>43447</v>
      </c>
      <c r="B379" s="7">
        <v>27</v>
      </c>
      <c r="C379" s="1" t="s">
        <v>6</v>
      </c>
      <c r="D379" s="1" t="s">
        <v>12</v>
      </c>
      <c r="E379" s="1" t="s">
        <v>27</v>
      </c>
      <c r="F379" s="9">
        <f>DATE(YEAR(Table1[[#This Row],[Date]]), MONTH(Table1[[#This Row],[Date]]), 1)</f>
        <v>43435</v>
      </c>
    </row>
    <row r="380" spans="1:6" x14ac:dyDescent="0.25">
      <c r="A380" s="2">
        <v>43448</v>
      </c>
      <c r="B380" s="7">
        <v>21.39</v>
      </c>
      <c r="C380" s="1" t="s">
        <v>6</v>
      </c>
      <c r="D380" s="1" t="s">
        <v>14</v>
      </c>
      <c r="E380" s="1" t="s">
        <v>27</v>
      </c>
      <c r="F380" s="9">
        <f>DATE(YEAR(Table1[[#This Row],[Date]]), MONTH(Table1[[#This Row],[Date]]), 1)</f>
        <v>43435</v>
      </c>
    </row>
    <row r="381" spans="1:6" x14ac:dyDescent="0.25">
      <c r="A381" s="2">
        <v>43448</v>
      </c>
      <c r="B381" s="7">
        <v>17.100000000000001</v>
      </c>
      <c r="C381" s="1" t="s">
        <v>6</v>
      </c>
      <c r="D381" s="1" t="s">
        <v>16</v>
      </c>
      <c r="E381" s="1" t="s">
        <v>27</v>
      </c>
      <c r="F381" s="9">
        <f>DATE(YEAR(Table1[[#This Row],[Date]]), MONTH(Table1[[#This Row],[Date]]), 1)</f>
        <v>43435</v>
      </c>
    </row>
    <row r="382" spans="1:6" x14ac:dyDescent="0.25">
      <c r="A382" s="2">
        <v>43448</v>
      </c>
      <c r="B382" s="7">
        <v>60</v>
      </c>
      <c r="C382" s="1" t="s">
        <v>6</v>
      </c>
      <c r="D382" s="1" t="s">
        <v>22</v>
      </c>
      <c r="E382" s="1" t="s">
        <v>32</v>
      </c>
      <c r="F382" s="9">
        <f>DATE(YEAR(Table1[[#This Row],[Date]]), MONTH(Table1[[#This Row],[Date]]), 1)</f>
        <v>43435</v>
      </c>
    </row>
    <row r="383" spans="1:6" x14ac:dyDescent="0.25">
      <c r="A383" s="2">
        <v>43451</v>
      </c>
      <c r="B383" s="7">
        <v>63</v>
      </c>
      <c r="C383" s="1" t="s">
        <v>6</v>
      </c>
      <c r="D383" s="1" t="s">
        <v>12</v>
      </c>
      <c r="E383" s="1" t="s">
        <v>27</v>
      </c>
      <c r="F383" s="9">
        <f>DATE(YEAR(Table1[[#This Row],[Date]]), MONTH(Table1[[#This Row],[Date]]), 1)</f>
        <v>43435</v>
      </c>
    </row>
    <row r="384" spans="1:6" x14ac:dyDescent="0.25">
      <c r="A384" s="2">
        <v>43451</v>
      </c>
      <c r="B384" s="7">
        <v>20.010000000000002</v>
      </c>
      <c r="C384" s="1" t="s">
        <v>6</v>
      </c>
      <c r="D384" s="1" t="s">
        <v>13</v>
      </c>
      <c r="E384" s="1" t="s">
        <v>27</v>
      </c>
      <c r="F384" s="9">
        <f>DATE(YEAR(Table1[[#This Row],[Date]]), MONTH(Table1[[#This Row],[Date]]), 1)</f>
        <v>43435</v>
      </c>
    </row>
    <row r="385" spans="1:6" x14ac:dyDescent="0.25">
      <c r="A385" s="2">
        <v>43451</v>
      </c>
      <c r="B385" s="7">
        <v>35</v>
      </c>
      <c r="C385" s="1" t="s">
        <v>6</v>
      </c>
      <c r="D385" s="1" t="s">
        <v>22</v>
      </c>
      <c r="E385" s="1" t="s">
        <v>32</v>
      </c>
      <c r="F385" s="9">
        <f>DATE(YEAR(Table1[[#This Row],[Date]]), MONTH(Table1[[#This Row],[Date]]), 1)</f>
        <v>43435</v>
      </c>
    </row>
    <row r="386" spans="1:6" x14ac:dyDescent="0.25">
      <c r="A386" s="2">
        <v>43452</v>
      </c>
      <c r="B386" s="7">
        <v>3</v>
      </c>
      <c r="C386" s="1" t="s">
        <v>6</v>
      </c>
      <c r="D386" s="1" t="s">
        <v>9</v>
      </c>
      <c r="E386" s="1" t="s">
        <v>27</v>
      </c>
      <c r="F386" s="9">
        <f>DATE(YEAR(Table1[[#This Row],[Date]]), MONTH(Table1[[#This Row],[Date]]), 1)</f>
        <v>43435</v>
      </c>
    </row>
    <row r="387" spans="1:6" x14ac:dyDescent="0.25">
      <c r="A387" s="2">
        <v>43452</v>
      </c>
      <c r="B387" s="7">
        <v>56.52</v>
      </c>
      <c r="C387" s="1" t="s">
        <v>6</v>
      </c>
      <c r="D387" s="1" t="s">
        <v>12</v>
      </c>
      <c r="E387" s="1" t="s">
        <v>27</v>
      </c>
      <c r="F387" s="9">
        <f>DATE(YEAR(Table1[[#This Row],[Date]]), MONTH(Table1[[#This Row],[Date]]), 1)</f>
        <v>43435</v>
      </c>
    </row>
    <row r="388" spans="1:6" x14ac:dyDescent="0.25">
      <c r="A388" s="2">
        <v>43452</v>
      </c>
      <c r="B388" s="7">
        <v>49.99</v>
      </c>
      <c r="C388" s="1" t="s">
        <v>6</v>
      </c>
      <c r="D388" s="1" t="s">
        <v>39</v>
      </c>
      <c r="E388" s="1" t="s">
        <v>26</v>
      </c>
      <c r="F388" s="9">
        <f>DATE(YEAR(Table1[[#This Row],[Date]]), MONTH(Table1[[#This Row],[Date]]), 1)</f>
        <v>43435</v>
      </c>
    </row>
    <row r="389" spans="1:6" x14ac:dyDescent="0.25">
      <c r="A389" s="2">
        <v>43452</v>
      </c>
      <c r="B389" s="7">
        <v>41.72</v>
      </c>
      <c r="C389" s="1" t="s">
        <v>6</v>
      </c>
      <c r="D389" s="1" t="s">
        <v>39</v>
      </c>
      <c r="E389" s="1" t="s">
        <v>26</v>
      </c>
      <c r="F389" s="9">
        <f>DATE(YEAR(Table1[[#This Row],[Date]]), MONTH(Table1[[#This Row],[Date]]), 1)</f>
        <v>43435</v>
      </c>
    </row>
    <row r="390" spans="1:6" x14ac:dyDescent="0.25">
      <c r="A390" s="2">
        <v>43452</v>
      </c>
      <c r="B390" s="7">
        <v>24.3</v>
      </c>
      <c r="C390" s="1" t="s">
        <v>6</v>
      </c>
      <c r="D390" s="1" t="s">
        <v>39</v>
      </c>
      <c r="E390" s="1" t="s">
        <v>26</v>
      </c>
      <c r="F390" s="9">
        <f>DATE(YEAR(Table1[[#This Row],[Date]]), MONTH(Table1[[#This Row],[Date]]), 1)</f>
        <v>43435</v>
      </c>
    </row>
    <row r="391" spans="1:6" x14ac:dyDescent="0.25">
      <c r="A391" s="2">
        <v>43453</v>
      </c>
      <c r="B391" s="7">
        <v>75</v>
      </c>
      <c r="C391" s="1" t="s">
        <v>6</v>
      </c>
      <c r="D391" s="1" t="s">
        <v>8</v>
      </c>
      <c r="E391" s="1" t="s">
        <v>32</v>
      </c>
      <c r="F391" s="9">
        <f>DATE(YEAR(Table1[[#This Row],[Date]]), MONTH(Table1[[#This Row],[Date]]), 1)</f>
        <v>43435</v>
      </c>
    </row>
    <row r="392" spans="1:6" x14ac:dyDescent="0.25">
      <c r="A392" s="2">
        <v>43453</v>
      </c>
      <c r="B392" s="7">
        <v>43.01</v>
      </c>
      <c r="C392" s="1" t="s">
        <v>6</v>
      </c>
      <c r="D392" s="1" t="s">
        <v>39</v>
      </c>
      <c r="E392" s="1" t="s">
        <v>26</v>
      </c>
      <c r="F392" s="9">
        <f>DATE(YEAR(Table1[[#This Row],[Date]]), MONTH(Table1[[#This Row],[Date]]), 1)</f>
        <v>43435</v>
      </c>
    </row>
    <row r="393" spans="1:6" x14ac:dyDescent="0.25">
      <c r="A393" s="2">
        <v>43454</v>
      </c>
      <c r="B393" s="7">
        <v>30.38</v>
      </c>
      <c r="C393" s="1" t="s">
        <v>6</v>
      </c>
      <c r="D393" s="1" t="s">
        <v>13</v>
      </c>
      <c r="E393" s="1" t="s">
        <v>27</v>
      </c>
      <c r="F393" s="9">
        <f>DATE(YEAR(Table1[[#This Row],[Date]]), MONTH(Table1[[#This Row],[Date]]), 1)</f>
        <v>43435</v>
      </c>
    </row>
    <row r="394" spans="1:6" x14ac:dyDescent="0.25">
      <c r="A394" s="2">
        <v>43455</v>
      </c>
      <c r="B394" s="7">
        <v>2000</v>
      </c>
      <c r="C394" s="1" t="s">
        <v>5</v>
      </c>
      <c r="D394" s="1" t="s">
        <v>21</v>
      </c>
      <c r="E394" s="1" t="s">
        <v>25</v>
      </c>
      <c r="F394" s="9">
        <f>DATE(YEAR(Table1[[#This Row],[Date]]), MONTH(Table1[[#This Row],[Date]]), 1)</f>
        <v>43435</v>
      </c>
    </row>
    <row r="395" spans="1:6" x14ac:dyDescent="0.25">
      <c r="A395" s="2">
        <v>43456</v>
      </c>
      <c r="B395" s="7">
        <v>21.38</v>
      </c>
      <c r="C395" s="1" t="s">
        <v>6</v>
      </c>
      <c r="D395" s="1" t="s">
        <v>1</v>
      </c>
      <c r="E395" s="1" t="s">
        <v>26</v>
      </c>
      <c r="F395" s="9">
        <f>DATE(YEAR(Table1[[#This Row],[Date]]), MONTH(Table1[[#This Row],[Date]]), 1)</f>
        <v>43435</v>
      </c>
    </row>
    <row r="396" spans="1:6" x14ac:dyDescent="0.25">
      <c r="A396" s="2">
        <v>43456</v>
      </c>
      <c r="B396" s="7">
        <v>22.14</v>
      </c>
      <c r="C396" s="1" t="s">
        <v>6</v>
      </c>
      <c r="D396" s="1" t="s">
        <v>16</v>
      </c>
      <c r="E396" s="1" t="s">
        <v>26</v>
      </c>
      <c r="F396" s="9">
        <f>DATE(YEAR(Table1[[#This Row],[Date]]), MONTH(Table1[[#This Row],[Date]]), 1)</f>
        <v>43435</v>
      </c>
    </row>
    <row r="397" spans="1:6" x14ac:dyDescent="0.25">
      <c r="A397" s="2">
        <v>43457</v>
      </c>
      <c r="B397" s="7">
        <v>28</v>
      </c>
      <c r="C397" s="1" t="s">
        <v>6</v>
      </c>
      <c r="D397" s="1" t="s">
        <v>16</v>
      </c>
      <c r="E397" s="1" t="s">
        <v>26</v>
      </c>
      <c r="F397" s="9">
        <f>DATE(YEAR(Table1[[#This Row],[Date]]), MONTH(Table1[[#This Row],[Date]]), 1)</f>
        <v>43435</v>
      </c>
    </row>
    <row r="398" spans="1:6" x14ac:dyDescent="0.25">
      <c r="A398" s="2">
        <v>43458</v>
      </c>
      <c r="B398" s="7">
        <v>38.4</v>
      </c>
      <c r="C398" s="1" t="s">
        <v>6</v>
      </c>
      <c r="D398" s="1" t="s">
        <v>16</v>
      </c>
      <c r="E398" s="1" t="s">
        <v>26</v>
      </c>
      <c r="F398" s="9">
        <f>DATE(YEAR(Table1[[#This Row],[Date]]), MONTH(Table1[[#This Row],[Date]]), 1)</f>
        <v>43435</v>
      </c>
    </row>
    <row r="399" spans="1:6" x14ac:dyDescent="0.25">
      <c r="A399" s="2">
        <v>43460</v>
      </c>
      <c r="B399" s="7">
        <v>56.07</v>
      </c>
      <c r="C399" s="1" t="s">
        <v>6</v>
      </c>
      <c r="D399" s="1" t="s">
        <v>1</v>
      </c>
      <c r="E399" s="1" t="s">
        <v>26</v>
      </c>
      <c r="F399" s="9">
        <f>DATE(YEAR(Table1[[#This Row],[Date]]), MONTH(Table1[[#This Row],[Date]]), 1)</f>
        <v>43435</v>
      </c>
    </row>
    <row r="400" spans="1:6" x14ac:dyDescent="0.25">
      <c r="A400" s="2">
        <v>43460</v>
      </c>
      <c r="B400" s="7">
        <v>32.47</v>
      </c>
      <c r="C400" s="1" t="s">
        <v>6</v>
      </c>
      <c r="D400" s="1" t="s">
        <v>13</v>
      </c>
      <c r="E400" s="1" t="s">
        <v>26</v>
      </c>
      <c r="F400" s="9">
        <f>DATE(YEAR(Table1[[#This Row],[Date]]), MONTH(Table1[[#This Row],[Date]]), 1)</f>
        <v>43435</v>
      </c>
    </row>
    <row r="401" spans="1:6" x14ac:dyDescent="0.25">
      <c r="A401" s="2">
        <v>43460</v>
      </c>
      <c r="B401" s="7">
        <v>7.48</v>
      </c>
      <c r="C401" s="1" t="s">
        <v>6</v>
      </c>
      <c r="D401" s="1" t="s">
        <v>13</v>
      </c>
      <c r="E401" s="1" t="s">
        <v>26</v>
      </c>
      <c r="F401" s="9">
        <f>DATE(YEAR(Table1[[#This Row],[Date]]), MONTH(Table1[[#This Row],[Date]]), 1)</f>
        <v>43435</v>
      </c>
    </row>
    <row r="402" spans="1:6" x14ac:dyDescent="0.25">
      <c r="A402" s="2">
        <v>43460</v>
      </c>
      <c r="B402" s="7">
        <v>75.989999999999995</v>
      </c>
      <c r="C402" s="1" t="s">
        <v>6</v>
      </c>
      <c r="D402" s="1" t="s">
        <v>2</v>
      </c>
      <c r="E402" s="1" t="s">
        <v>32</v>
      </c>
      <c r="F402" s="9">
        <f>DATE(YEAR(Table1[[#This Row],[Date]]), MONTH(Table1[[#This Row],[Date]]), 1)</f>
        <v>43435</v>
      </c>
    </row>
    <row r="403" spans="1:6" x14ac:dyDescent="0.25">
      <c r="A403" s="2">
        <v>43460</v>
      </c>
      <c r="B403" s="7">
        <v>44.99</v>
      </c>
      <c r="C403" s="1" t="s">
        <v>6</v>
      </c>
      <c r="D403" s="1" t="s">
        <v>39</v>
      </c>
      <c r="E403" s="1" t="s">
        <v>26</v>
      </c>
      <c r="F403" s="9">
        <f>DATE(YEAR(Table1[[#This Row],[Date]]), MONTH(Table1[[#This Row],[Date]]), 1)</f>
        <v>43435</v>
      </c>
    </row>
    <row r="404" spans="1:6" x14ac:dyDescent="0.25">
      <c r="A404" s="2">
        <v>43462</v>
      </c>
      <c r="B404" s="7">
        <v>12</v>
      </c>
      <c r="C404" s="1" t="s">
        <v>6</v>
      </c>
      <c r="D404" s="1" t="s">
        <v>7</v>
      </c>
      <c r="E404" s="1" t="s">
        <v>27</v>
      </c>
      <c r="F404" s="9">
        <f>DATE(YEAR(Table1[[#This Row],[Date]]), MONTH(Table1[[#This Row],[Date]]), 1)</f>
        <v>43435</v>
      </c>
    </row>
    <row r="405" spans="1:6" x14ac:dyDescent="0.25">
      <c r="A405" s="2">
        <v>43463</v>
      </c>
      <c r="B405" s="7">
        <v>14</v>
      </c>
      <c r="C405" s="1" t="s">
        <v>6</v>
      </c>
      <c r="D405" s="1" t="s">
        <v>7</v>
      </c>
      <c r="E405" s="1" t="s">
        <v>27</v>
      </c>
      <c r="F405" s="9">
        <f>DATE(YEAR(Table1[[#This Row],[Date]]), MONTH(Table1[[#This Row],[Date]]), 1)</f>
        <v>43435</v>
      </c>
    </row>
    <row r="406" spans="1:6" x14ac:dyDescent="0.25">
      <c r="A406" s="2">
        <v>43463</v>
      </c>
      <c r="B406" s="7">
        <v>55.04</v>
      </c>
      <c r="C406" s="1" t="s">
        <v>6</v>
      </c>
      <c r="D406" s="1" t="s">
        <v>14</v>
      </c>
      <c r="E406" s="1" t="s">
        <v>27</v>
      </c>
      <c r="F406" s="9">
        <f>DATE(YEAR(Table1[[#This Row],[Date]]), MONTH(Table1[[#This Row],[Date]]), 1)</f>
        <v>43435</v>
      </c>
    </row>
    <row r="407" spans="1:6" x14ac:dyDescent="0.25">
      <c r="A407" s="2">
        <v>43466</v>
      </c>
      <c r="B407" s="7">
        <v>13.09</v>
      </c>
      <c r="C407" s="1" t="s">
        <v>6</v>
      </c>
      <c r="D407" s="1" t="s">
        <v>39</v>
      </c>
      <c r="E407" s="1" t="s">
        <v>26</v>
      </c>
      <c r="F407" s="9">
        <f>DATE(YEAR(Table1[[#This Row],[Date]]), MONTH(Table1[[#This Row],[Date]]), 1)</f>
        <v>43466</v>
      </c>
    </row>
    <row r="408" spans="1:6" x14ac:dyDescent="0.25">
      <c r="A408" s="2">
        <v>43468</v>
      </c>
      <c r="B408" s="7">
        <v>1100</v>
      </c>
      <c r="C408" s="1" t="s">
        <v>6</v>
      </c>
      <c r="D408" s="1" t="s">
        <v>18</v>
      </c>
      <c r="E408" s="1" t="s">
        <v>32</v>
      </c>
      <c r="F408" s="9">
        <f>DATE(YEAR(Table1[[#This Row],[Date]]), MONTH(Table1[[#This Row],[Date]]), 1)</f>
        <v>43466</v>
      </c>
    </row>
    <row r="409" spans="1:6" x14ac:dyDescent="0.25">
      <c r="A409" s="2">
        <v>43468</v>
      </c>
      <c r="B409" s="7">
        <v>42.1</v>
      </c>
      <c r="C409" s="1" t="s">
        <v>6</v>
      </c>
      <c r="D409" s="1" t="s">
        <v>39</v>
      </c>
      <c r="E409" s="1" t="s">
        <v>26</v>
      </c>
      <c r="F409" s="9">
        <f>DATE(YEAR(Table1[[#This Row],[Date]]), MONTH(Table1[[#This Row],[Date]]), 1)</f>
        <v>43466</v>
      </c>
    </row>
    <row r="410" spans="1:6" x14ac:dyDescent="0.25">
      <c r="A410" s="2">
        <v>43469</v>
      </c>
      <c r="B410" s="7">
        <v>2000</v>
      </c>
      <c r="C410" s="1" t="s">
        <v>5</v>
      </c>
      <c r="D410" s="1" t="s">
        <v>21</v>
      </c>
      <c r="E410" s="1" t="s">
        <v>25</v>
      </c>
      <c r="F410" s="9">
        <f>DATE(YEAR(Table1[[#This Row],[Date]]), MONTH(Table1[[#This Row],[Date]]), 1)</f>
        <v>43466</v>
      </c>
    </row>
    <row r="411" spans="1:6" x14ac:dyDescent="0.25">
      <c r="A411" s="2">
        <v>43470</v>
      </c>
      <c r="B411" s="7">
        <v>23.49</v>
      </c>
      <c r="C411" s="1" t="s">
        <v>6</v>
      </c>
      <c r="D411" s="1" t="s">
        <v>12</v>
      </c>
      <c r="E411" s="1" t="s">
        <v>26</v>
      </c>
      <c r="F411" s="9">
        <f>DATE(YEAR(Table1[[#This Row],[Date]]), MONTH(Table1[[#This Row],[Date]]), 1)</f>
        <v>43466</v>
      </c>
    </row>
    <row r="412" spans="1:6" x14ac:dyDescent="0.25">
      <c r="A412" s="2">
        <v>43473</v>
      </c>
      <c r="B412" s="7">
        <v>45</v>
      </c>
      <c r="C412" s="1" t="s">
        <v>6</v>
      </c>
      <c r="D412" s="1" t="s">
        <v>22</v>
      </c>
      <c r="E412" s="1" t="s">
        <v>32</v>
      </c>
      <c r="F412" s="9">
        <f>DATE(YEAR(Table1[[#This Row],[Date]]), MONTH(Table1[[#This Row],[Date]]), 1)</f>
        <v>43466</v>
      </c>
    </row>
    <row r="413" spans="1:6" x14ac:dyDescent="0.25">
      <c r="A413" s="2">
        <v>43474</v>
      </c>
      <c r="B413" s="7">
        <v>10.69</v>
      </c>
      <c r="C413" s="1" t="s">
        <v>6</v>
      </c>
      <c r="D413" s="1" t="s">
        <v>20</v>
      </c>
      <c r="E413" s="1" t="s">
        <v>26</v>
      </c>
      <c r="F413" s="9">
        <f>DATE(YEAR(Table1[[#This Row],[Date]]), MONTH(Table1[[#This Row],[Date]]), 1)</f>
        <v>43466</v>
      </c>
    </row>
    <row r="414" spans="1:6" x14ac:dyDescent="0.25">
      <c r="A414" s="2">
        <v>43475</v>
      </c>
      <c r="B414" s="7">
        <v>58.79</v>
      </c>
      <c r="C414" s="1" t="s">
        <v>6</v>
      </c>
      <c r="D414" s="1" t="s">
        <v>14</v>
      </c>
      <c r="E414" s="1" t="s">
        <v>27</v>
      </c>
      <c r="F414" s="9">
        <f>DATE(YEAR(Table1[[#This Row],[Date]]), MONTH(Table1[[#This Row],[Date]]), 1)</f>
        <v>43466</v>
      </c>
    </row>
    <row r="415" spans="1:6" x14ac:dyDescent="0.25">
      <c r="A415" s="2">
        <v>43475</v>
      </c>
      <c r="B415" s="7">
        <v>30</v>
      </c>
      <c r="C415" s="1" t="s">
        <v>6</v>
      </c>
      <c r="D415" s="1" t="s">
        <v>15</v>
      </c>
      <c r="E415" s="1" t="s">
        <v>27</v>
      </c>
      <c r="F415" s="9">
        <f>DATE(YEAR(Table1[[#This Row],[Date]]), MONTH(Table1[[#This Row],[Date]]), 1)</f>
        <v>43466</v>
      </c>
    </row>
    <row r="416" spans="1:6" x14ac:dyDescent="0.25">
      <c r="A416" s="2">
        <v>43475</v>
      </c>
      <c r="B416" s="7">
        <v>65</v>
      </c>
      <c r="C416" s="1" t="s">
        <v>6</v>
      </c>
      <c r="D416" s="1" t="s">
        <v>17</v>
      </c>
      <c r="E416" s="1" t="s">
        <v>32</v>
      </c>
      <c r="F416" s="9">
        <f>DATE(YEAR(Table1[[#This Row],[Date]]), MONTH(Table1[[#This Row],[Date]]), 1)</f>
        <v>43466</v>
      </c>
    </row>
    <row r="417" spans="1:6" x14ac:dyDescent="0.25">
      <c r="A417" s="2">
        <v>43479</v>
      </c>
      <c r="B417" s="7">
        <v>28.92</v>
      </c>
      <c r="C417" s="1" t="s">
        <v>6</v>
      </c>
      <c r="D417" s="1" t="s">
        <v>13</v>
      </c>
      <c r="E417" s="1" t="s">
        <v>27</v>
      </c>
      <c r="F417" s="9">
        <f>DATE(YEAR(Table1[[#This Row],[Date]]), MONTH(Table1[[#This Row],[Date]]), 1)</f>
        <v>43466</v>
      </c>
    </row>
    <row r="418" spans="1:6" x14ac:dyDescent="0.25">
      <c r="A418" s="2">
        <v>43480</v>
      </c>
      <c r="B418" s="7">
        <v>6.06</v>
      </c>
      <c r="C418" s="1" t="s">
        <v>6</v>
      </c>
      <c r="D418" s="1" t="s">
        <v>14</v>
      </c>
      <c r="E418" s="1" t="s">
        <v>27</v>
      </c>
      <c r="F418" s="9">
        <f>DATE(YEAR(Table1[[#This Row],[Date]]), MONTH(Table1[[#This Row],[Date]]), 1)</f>
        <v>43466</v>
      </c>
    </row>
    <row r="419" spans="1:6" x14ac:dyDescent="0.25">
      <c r="A419" s="2">
        <v>43481</v>
      </c>
      <c r="B419" s="7">
        <v>35</v>
      </c>
      <c r="C419" s="1" t="s">
        <v>6</v>
      </c>
      <c r="D419" s="1" t="s">
        <v>22</v>
      </c>
      <c r="E419" s="1" t="s">
        <v>32</v>
      </c>
      <c r="F419" s="9">
        <f>DATE(YEAR(Table1[[#This Row],[Date]]), MONTH(Table1[[#This Row],[Date]]), 1)</f>
        <v>43466</v>
      </c>
    </row>
    <row r="420" spans="1:6" x14ac:dyDescent="0.25">
      <c r="A420" s="2">
        <v>43481</v>
      </c>
      <c r="B420" s="7">
        <v>60</v>
      </c>
      <c r="C420" s="1" t="s">
        <v>6</v>
      </c>
      <c r="D420" s="1" t="s">
        <v>22</v>
      </c>
      <c r="E420" s="1" t="s">
        <v>32</v>
      </c>
      <c r="F420" s="9">
        <f>DATE(YEAR(Table1[[#This Row],[Date]]), MONTH(Table1[[#This Row],[Date]]), 1)</f>
        <v>43466</v>
      </c>
    </row>
    <row r="421" spans="1:6" x14ac:dyDescent="0.25">
      <c r="A421" s="2">
        <v>43483</v>
      </c>
      <c r="B421" s="7">
        <v>75</v>
      </c>
      <c r="C421" s="1" t="s">
        <v>6</v>
      </c>
      <c r="D421" s="1" t="s">
        <v>8</v>
      </c>
      <c r="E421" s="1" t="s">
        <v>32</v>
      </c>
      <c r="F421" s="9">
        <f>DATE(YEAR(Table1[[#This Row],[Date]]), MONTH(Table1[[#This Row],[Date]]), 1)</f>
        <v>43466</v>
      </c>
    </row>
    <row r="422" spans="1:6" x14ac:dyDescent="0.25">
      <c r="A422" s="2">
        <v>43483</v>
      </c>
      <c r="B422" s="7">
        <v>2000</v>
      </c>
      <c r="C422" s="1" t="s">
        <v>5</v>
      </c>
      <c r="D422" s="1" t="s">
        <v>21</v>
      </c>
      <c r="E422" s="1" t="s">
        <v>25</v>
      </c>
      <c r="F422" s="9">
        <f>DATE(YEAR(Table1[[#This Row],[Date]]), MONTH(Table1[[#This Row],[Date]]), 1)</f>
        <v>43466</v>
      </c>
    </row>
    <row r="423" spans="1:6" x14ac:dyDescent="0.25">
      <c r="A423" s="2">
        <v>43489</v>
      </c>
      <c r="B423" s="7">
        <v>21.06</v>
      </c>
      <c r="C423" s="1" t="s">
        <v>6</v>
      </c>
      <c r="D423" s="1" t="s">
        <v>14</v>
      </c>
      <c r="E423" s="1" t="s">
        <v>27</v>
      </c>
      <c r="F423" s="9">
        <f>DATE(YEAR(Table1[[#This Row],[Date]]), MONTH(Table1[[#This Row],[Date]]), 1)</f>
        <v>43466</v>
      </c>
    </row>
    <row r="424" spans="1:6" x14ac:dyDescent="0.25">
      <c r="A424" s="2">
        <v>43489</v>
      </c>
      <c r="B424" s="7">
        <v>11.7</v>
      </c>
      <c r="C424" s="1" t="s">
        <v>6</v>
      </c>
      <c r="D424" s="1" t="s">
        <v>39</v>
      </c>
      <c r="E424" s="1" t="s">
        <v>26</v>
      </c>
      <c r="F424" s="9">
        <f>DATE(YEAR(Table1[[#This Row],[Date]]), MONTH(Table1[[#This Row],[Date]]), 1)</f>
        <v>43466</v>
      </c>
    </row>
    <row r="425" spans="1:6" x14ac:dyDescent="0.25">
      <c r="A425" s="2">
        <v>43489</v>
      </c>
      <c r="B425" s="7">
        <v>4.21</v>
      </c>
      <c r="C425" s="1" t="s">
        <v>6</v>
      </c>
      <c r="D425" s="1" t="s">
        <v>39</v>
      </c>
      <c r="E425" s="1" t="s">
        <v>26</v>
      </c>
      <c r="F425" s="9">
        <f>DATE(YEAR(Table1[[#This Row],[Date]]), MONTH(Table1[[#This Row],[Date]]), 1)</f>
        <v>43466</v>
      </c>
    </row>
    <row r="426" spans="1:6" x14ac:dyDescent="0.25">
      <c r="A426" s="2">
        <v>43490</v>
      </c>
      <c r="B426" s="7">
        <v>75</v>
      </c>
      <c r="C426" s="1" t="s">
        <v>6</v>
      </c>
      <c r="D426" s="1" t="s">
        <v>2</v>
      </c>
      <c r="E426" s="1" t="s">
        <v>32</v>
      </c>
      <c r="F426" s="9">
        <f>DATE(YEAR(Table1[[#This Row],[Date]]), MONTH(Table1[[#This Row],[Date]]), 1)</f>
        <v>43466</v>
      </c>
    </row>
    <row r="427" spans="1:6" x14ac:dyDescent="0.25">
      <c r="A427" s="2">
        <v>43496</v>
      </c>
      <c r="B427" s="7">
        <v>31.32</v>
      </c>
      <c r="C427" s="1" t="s">
        <v>6</v>
      </c>
      <c r="D427" s="1" t="s">
        <v>13</v>
      </c>
      <c r="E427" s="1" t="s">
        <v>27</v>
      </c>
      <c r="F427" s="9">
        <f>DATE(YEAR(Table1[[#This Row],[Date]]), MONTH(Table1[[#This Row],[Date]]), 1)</f>
        <v>43466</v>
      </c>
    </row>
    <row r="428" spans="1:6" x14ac:dyDescent="0.25">
      <c r="A428" s="2">
        <v>43497</v>
      </c>
      <c r="B428" s="7">
        <v>2000</v>
      </c>
      <c r="C428" s="1" t="s">
        <v>5</v>
      </c>
      <c r="D428" s="1" t="s">
        <v>21</v>
      </c>
      <c r="E428" s="1" t="s">
        <v>25</v>
      </c>
      <c r="F428" s="9">
        <f>DATE(YEAR(Table1[[#This Row],[Date]]), MONTH(Table1[[#This Row],[Date]]), 1)</f>
        <v>43497</v>
      </c>
    </row>
    <row r="429" spans="1:6" x14ac:dyDescent="0.25">
      <c r="A429" s="2">
        <v>43497</v>
      </c>
      <c r="B429" s="7">
        <v>9.4700000000000006</v>
      </c>
      <c r="C429" s="1" t="s">
        <v>6</v>
      </c>
      <c r="D429" s="1" t="s">
        <v>12</v>
      </c>
      <c r="E429" s="1" t="s">
        <v>27</v>
      </c>
      <c r="F429" s="9">
        <f>DATE(YEAR(Table1[[#This Row],[Date]]), MONTH(Table1[[#This Row],[Date]]), 1)</f>
        <v>43497</v>
      </c>
    </row>
    <row r="430" spans="1:6" x14ac:dyDescent="0.25">
      <c r="A430" s="2">
        <v>43497</v>
      </c>
      <c r="B430" s="7">
        <v>13.09</v>
      </c>
      <c r="C430" s="1" t="s">
        <v>6</v>
      </c>
      <c r="D430" s="1" t="s">
        <v>39</v>
      </c>
      <c r="E430" s="1" t="s">
        <v>26</v>
      </c>
      <c r="F430" s="9">
        <f>DATE(YEAR(Table1[[#This Row],[Date]]), MONTH(Table1[[#This Row],[Date]]), 1)</f>
        <v>43497</v>
      </c>
    </row>
    <row r="431" spans="1:6" x14ac:dyDescent="0.25">
      <c r="A431" s="2">
        <v>43500</v>
      </c>
      <c r="B431" s="7">
        <v>86.97</v>
      </c>
      <c r="C431" s="1" t="s">
        <v>6</v>
      </c>
      <c r="D431" s="1" t="s">
        <v>16</v>
      </c>
      <c r="E431" s="1" t="s">
        <v>27</v>
      </c>
      <c r="F431" s="9">
        <f>DATE(YEAR(Table1[[#This Row],[Date]]), MONTH(Table1[[#This Row],[Date]]), 1)</f>
        <v>43497</v>
      </c>
    </row>
    <row r="432" spans="1:6" x14ac:dyDescent="0.25">
      <c r="A432" s="2">
        <v>43500</v>
      </c>
      <c r="B432" s="7">
        <v>11.76</v>
      </c>
      <c r="C432" s="1" t="s">
        <v>6</v>
      </c>
      <c r="D432" s="1" t="s">
        <v>38</v>
      </c>
      <c r="E432" s="1" t="s">
        <v>26</v>
      </c>
      <c r="F432" s="9">
        <f>DATE(YEAR(Table1[[#This Row],[Date]]), MONTH(Table1[[#This Row],[Date]]), 1)</f>
        <v>43497</v>
      </c>
    </row>
    <row r="433" spans="1:6" x14ac:dyDescent="0.25">
      <c r="A433" s="2">
        <v>43501</v>
      </c>
      <c r="B433" s="7">
        <v>1100</v>
      </c>
      <c r="C433" s="1" t="s">
        <v>6</v>
      </c>
      <c r="D433" s="1" t="s">
        <v>18</v>
      </c>
      <c r="E433" s="1" t="s">
        <v>32</v>
      </c>
      <c r="F433" s="9">
        <f>DATE(YEAR(Table1[[#This Row],[Date]]), MONTH(Table1[[#This Row],[Date]]), 1)</f>
        <v>43497</v>
      </c>
    </row>
    <row r="434" spans="1:6" x14ac:dyDescent="0.25">
      <c r="A434" s="2">
        <v>43503</v>
      </c>
      <c r="B434" s="7">
        <v>65</v>
      </c>
      <c r="C434" s="1" t="s">
        <v>6</v>
      </c>
      <c r="D434" s="1" t="s">
        <v>22</v>
      </c>
      <c r="E434" s="1" t="s">
        <v>32</v>
      </c>
      <c r="F434" s="9">
        <f>DATE(YEAR(Table1[[#This Row],[Date]]), MONTH(Table1[[#This Row],[Date]]), 1)</f>
        <v>43497</v>
      </c>
    </row>
    <row r="435" spans="1:6" x14ac:dyDescent="0.25">
      <c r="A435" s="2">
        <v>43504</v>
      </c>
      <c r="B435" s="7">
        <v>3</v>
      </c>
      <c r="C435" s="1" t="s">
        <v>6</v>
      </c>
      <c r="D435" s="1" t="s">
        <v>9</v>
      </c>
      <c r="E435" s="1" t="s">
        <v>26</v>
      </c>
      <c r="F435" s="9">
        <f>DATE(YEAR(Table1[[#This Row],[Date]]), MONTH(Table1[[#This Row],[Date]]), 1)</f>
        <v>43497</v>
      </c>
    </row>
    <row r="436" spans="1:6" x14ac:dyDescent="0.25">
      <c r="A436" s="2">
        <v>43504</v>
      </c>
      <c r="B436" s="7">
        <v>27.47</v>
      </c>
      <c r="C436" s="1" t="s">
        <v>6</v>
      </c>
      <c r="D436" s="1" t="s">
        <v>12</v>
      </c>
      <c r="E436" s="1" t="s">
        <v>26</v>
      </c>
      <c r="F436" s="9">
        <f>DATE(YEAR(Table1[[#This Row],[Date]]), MONTH(Table1[[#This Row],[Date]]), 1)</f>
        <v>43497</v>
      </c>
    </row>
    <row r="437" spans="1:6" x14ac:dyDescent="0.25">
      <c r="A437" s="2">
        <v>43505</v>
      </c>
      <c r="B437" s="7">
        <v>10.69</v>
      </c>
      <c r="C437" s="1" t="s">
        <v>6</v>
      </c>
      <c r="D437" s="1" t="s">
        <v>20</v>
      </c>
      <c r="E437" s="1" t="s">
        <v>26</v>
      </c>
      <c r="F437" s="9">
        <f>DATE(YEAR(Table1[[#This Row],[Date]]), MONTH(Table1[[#This Row],[Date]]), 1)</f>
        <v>43497</v>
      </c>
    </row>
    <row r="438" spans="1:6" x14ac:dyDescent="0.25">
      <c r="A438" s="2">
        <v>43507</v>
      </c>
      <c r="B438" s="7">
        <v>3</v>
      </c>
      <c r="C438" s="1" t="s">
        <v>6</v>
      </c>
      <c r="D438" s="1" t="s">
        <v>9</v>
      </c>
      <c r="E438" s="1" t="s">
        <v>26</v>
      </c>
      <c r="F438" s="9">
        <f>DATE(YEAR(Table1[[#This Row],[Date]]), MONTH(Table1[[#This Row],[Date]]), 1)</f>
        <v>43497</v>
      </c>
    </row>
    <row r="439" spans="1:6" x14ac:dyDescent="0.25">
      <c r="A439" s="2">
        <v>43507</v>
      </c>
      <c r="B439" s="7">
        <v>24.01</v>
      </c>
      <c r="C439" s="1" t="s">
        <v>6</v>
      </c>
      <c r="D439" s="1" t="s">
        <v>13</v>
      </c>
      <c r="E439" s="1" t="s">
        <v>26</v>
      </c>
      <c r="F439" s="9">
        <f>DATE(YEAR(Table1[[#This Row],[Date]]), MONTH(Table1[[#This Row],[Date]]), 1)</f>
        <v>43497</v>
      </c>
    </row>
    <row r="440" spans="1:6" x14ac:dyDescent="0.25">
      <c r="A440" s="2">
        <v>43508</v>
      </c>
      <c r="B440" s="7">
        <v>30.54</v>
      </c>
      <c r="C440" s="1" t="s">
        <v>6</v>
      </c>
      <c r="D440" s="1" t="s">
        <v>14</v>
      </c>
      <c r="E440" s="1" t="s">
        <v>26</v>
      </c>
      <c r="F440" s="9">
        <f>DATE(YEAR(Table1[[#This Row],[Date]]), MONTH(Table1[[#This Row],[Date]]), 1)</f>
        <v>43497</v>
      </c>
    </row>
    <row r="441" spans="1:6" x14ac:dyDescent="0.25">
      <c r="A441" s="2">
        <v>43508</v>
      </c>
      <c r="B441" s="7">
        <v>65</v>
      </c>
      <c r="C441" s="1" t="s">
        <v>6</v>
      </c>
      <c r="D441" s="1" t="s">
        <v>17</v>
      </c>
      <c r="E441" s="1" t="s">
        <v>32</v>
      </c>
      <c r="F441" s="9">
        <f>DATE(YEAR(Table1[[#This Row],[Date]]), MONTH(Table1[[#This Row],[Date]]), 1)</f>
        <v>43497</v>
      </c>
    </row>
    <row r="442" spans="1:6" x14ac:dyDescent="0.25">
      <c r="A442" s="2">
        <v>43509</v>
      </c>
      <c r="B442" s="7">
        <v>8.2100000000000009</v>
      </c>
      <c r="C442" s="1" t="s">
        <v>6</v>
      </c>
      <c r="D442" s="1" t="s">
        <v>14</v>
      </c>
      <c r="E442" s="1" t="s">
        <v>26</v>
      </c>
      <c r="F442" s="9">
        <f>DATE(YEAR(Table1[[#This Row],[Date]]), MONTH(Table1[[#This Row],[Date]]), 1)</f>
        <v>43497</v>
      </c>
    </row>
    <row r="443" spans="1:6" x14ac:dyDescent="0.25">
      <c r="A443" s="2">
        <v>43511</v>
      </c>
      <c r="B443" s="7">
        <v>4.59</v>
      </c>
      <c r="C443" s="1" t="s">
        <v>6</v>
      </c>
      <c r="D443" s="1" t="s">
        <v>14</v>
      </c>
      <c r="E443" s="1" t="s">
        <v>26</v>
      </c>
      <c r="F443" s="9">
        <f>DATE(YEAR(Table1[[#This Row],[Date]]), MONTH(Table1[[#This Row],[Date]]), 1)</f>
        <v>43497</v>
      </c>
    </row>
    <row r="444" spans="1:6" x14ac:dyDescent="0.25">
      <c r="A444" s="2">
        <v>43511</v>
      </c>
      <c r="B444" s="7">
        <v>2000</v>
      </c>
      <c r="C444" s="1" t="s">
        <v>5</v>
      </c>
      <c r="D444" s="1" t="s">
        <v>21</v>
      </c>
      <c r="E444" s="1" t="s">
        <v>25</v>
      </c>
      <c r="F444" s="9">
        <f>DATE(YEAR(Table1[[#This Row],[Date]]), MONTH(Table1[[#This Row],[Date]]), 1)</f>
        <v>43497</v>
      </c>
    </row>
    <row r="445" spans="1:6" x14ac:dyDescent="0.25">
      <c r="A445" s="2">
        <v>43511</v>
      </c>
      <c r="B445" s="7">
        <v>60</v>
      </c>
      <c r="C445" s="1" t="s">
        <v>6</v>
      </c>
      <c r="D445" s="1" t="s">
        <v>22</v>
      </c>
      <c r="E445" s="1" t="s">
        <v>32</v>
      </c>
      <c r="F445" s="9">
        <f>DATE(YEAR(Table1[[#This Row],[Date]]), MONTH(Table1[[#This Row],[Date]]), 1)</f>
        <v>43497</v>
      </c>
    </row>
    <row r="446" spans="1:6" x14ac:dyDescent="0.25">
      <c r="A446" s="2">
        <v>43512</v>
      </c>
      <c r="B446" s="7">
        <v>8</v>
      </c>
      <c r="C446" s="1" t="s">
        <v>6</v>
      </c>
      <c r="D446" s="1" t="s">
        <v>7</v>
      </c>
      <c r="E446" s="1" t="s">
        <v>26</v>
      </c>
      <c r="F446" s="9">
        <f>DATE(YEAR(Table1[[#This Row],[Date]]), MONTH(Table1[[#This Row],[Date]]), 1)</f>
        <v>43497</v>
      </c>
    </row>
    <row r="447" spans="1:6" x14ac:dyDescent="0.25">
      <c r="A447" s="2">
        <v>43512</v>
      </c>
      <c r="B447" s="7">
        <v>32.75</v>
      </c>
      <c r="C447" s="1" t="s">
        <v>6</v>
      </c>
      <c r="D447" s="1" t="s">
        <v>12</v>
      </c>
      <c r="E447" s="1" t="s">
        <v>26</v>
      </c>
      <c r="F447" s="9">
        <f>DATE(YEAR(Table1[[#This Row],[Date]]), MONTH(Table1[[#This Row],[Date]]), 1)</f>
        <v>43497</v>
      </c>
    </row>
    <row r="448" spans="1:6" x14ac:dyDescent="0.25">
      <c r="A448" s="2">
        <v>43512</v>
      </c>
      <c r="B448" s="7">
        <v>37.450000000000003</v>
      </c>
      <c r="C448" s="1" t="s">
        <v>6</v>
      </c>
      <c r="D448" s="1" t="s">
        <v>39</v>
      </c>
      <c r="E448" s="1" t="s">
        <v>26</v>
      </c>
      <c r="F448" s="9">
        <f>DATE(YEAR(Table1[[#This Row],[Date]]), MONTH(Table1[[#This Row],[Date]]), 1)</f>
        <v>43497</v>
      </c>
    </row>
    <row r="449" spans="1:6" x14ac:dyDescent="0.25">
      <c r="A449" s="2">
        <v>43515</v>
      </c>
      <c r="B449" s="7">
        <v>35</v>
      </c>
      <c r="C449" s="1" t="s">
        <v>6</v>
      </c>
      <c r="D449" s="1" t="s">
        <v>22</v>
      </c>
      <c r="E449" s="1" t="s">
        <v>32</v>
      </c>
      <c r="F449" s="9">
        <f>DATE(YEAR(Table1[[#This Row],[Date]]), MONTH(Table1[[#This Row],[Date]]), 1)</f>
        <v>43497</v>
      </c>
    </row>
    <row r="450" spans="1:6" x14ac:dyDescent="0.25">
      <c r="A450" s="2">
        <v>43516</v>
      </c>
      <c r="B450" s="7">
        <v>75</v>
      </c>
      <c r="C450" s="1" t="s">
        <v>6</v>
      </c>
      <c r="D450" s="1" t="s">
        <v>8</v>
      </c>
      <c r="E450" s="1" t="s">
        <v>32</v>
      </c>
      <c r="F450" s="9">
        <f>DATE(YEAR(Table1[[#This Row],[Date]]), MONTH(Table1[[#This Row],[Date]]), 1)</f>
        <v>43497</v>
      </c>
    </row>
    <row r="451" spans="1:6" x14ac:dyDescent="0.25">
      <c r="A451" s="2">
        <v>43516</v>
      </c>
      <c r="B451" s="7">
        <v>30</v>
      </c>
      <c r="C451" s="1" t="s">
        <v>6</v>
      </c>
      <c r="D451" s="1" t="s">
        <v>15</v>
      </c>
      <c r="E451" s="1" t="s">
        <v>26</v>
      </c>
      <c r="F451" s="9">
        <f>DATE(YEAR(Table1[[#This Row],[Date]]), MONTH(Table1[[#This Row],[Date]]), 1)</f>
        <v>43497</v>
      </c>
    </row>
    <row r="452" spans="1:6" x14ac:dyDescent="0.25">
      <c r="A452" s="2">
        <v>43517</v>
      </c>
      <c r="B452" s="7">
        <v>46.96</v>
      </c>
      <c r="C452" s="1" t="s">
        <v>6</v>
      </c>
      <c r="D452" s="1" t="s">
        <v>14</v>
      </c>
      <c r="E452" s="1" t="s">
        <v>27</v>
      </c>
      <c r="F452" s="9">
        <f>DATE(YEAR(Table1[[#This Row],[Date]]), MONTH(Table1[[#This Row],[Date]]), 1)</f>
        <v>43497</v>
      </c>
    </row>
    <row r="453" spans="1:6" x14ac:dyDescent="0.25">
      <c r="A453" s="2">
        <v>43521</v>
      </c>
      <c r="B453" s="7">
        <v>33.799999999999997</v>
      </c>
      <c r="C453" s="1" t="s">
        <v>6</v>
      </c>
      <c r="D453" s="1" t="s">
        <v>13</v>
      </c>
      <c r="E453" s="1" t="s">
        <v>27</v>
      </c>
      <c r="F453" s="9">
        <f>DATE(YEAR(Table1[[#This Row],[Date]]), MONTH(Table1[[#This Row],[Date]]), 1)</f>
        <v>43497</v>
      </c>
    </row>
    <row r="454" spans="1:6" x14ac:dyDescent="0.25">
      <c r="A454" s="2">
        <v>43521</v>
      </c>
      <c r="B454" s="7">
        <v>75</v>
      </c>
      <c r="C454" s="1" t="s">
        <v>6</v>
      </c>
      <c r="D454" s="1" t="s">
        <v>2</v>
      </c>
      <c r="E454" s="1" t="s">
        <v>32</v>
      </c>
      <c r="F454" s="9">
        <f>DATE(YEAR(Table1[[#This Row],[Date]]), MONTH(Table1[[#This Row],[Date]]), 1)</f>
        <v>43497</v>
      </c>
    </row>
    <row r="455" spans="1:6" x14ac:dyDescent="0.25">
      <c r="A455" s="2">
        <v>43523</v>
      </c>
      <c r="B455" s="7">
        <v>25.77</v>
      </c>
      <c r="C455" s="1" t="s">
        <v>6</v>
      </c>
      <c r="D455" s="1" t="s">
        <v>12</v>
      </c>
      <c r="E455" s="1" t="s">
        <v>27</v>
      </c>
      <c r="F455" s="9">
        <f>DATE(YEAR(Table1[[#This Row],[Date]]), MONTH(Table1[[#This Row],[Date]]), 1)</f>
        <v>43497</v>
      </c>
    </row>
    <row r="456" spans="1:6" x14ac:dyDescent="0.25">
      <c r="A456" s="2">
        <v>43524</v>
      </c>
      <c r="B456" s="7">
        <v>32.07</v>
      </c>
      <c r="C456" s="1" t="s">
        <v>6</v>
      </c>
      <c r="D456" s="1" t="s">
        <v>14</v>
      </c>
      <c r="E456" s="1" t="s">
        <v>27</v>
      </c>
      <c r="F456" s="9">
        <f>DATE(YEAR(Table1[[#This Row],[Date]]), MONTH(Table1[[#This Row],[Date]]), 1)</f>
        <v>43497</v>
      </c>
    </row>
    <row r="457" spans="1:6" x14ac:dyDescent="0.25">
      <c r="A457" s="2">
        <v>43525</v>
      </c>
      <c r="B457" s="7">
        <v>2000</v>
      </c>
      <c r="C457" s="1" t="s">
        <v>5</v>
      </c>
      <c r="D457" s="1" t="s">
        <v>21</v>
      </c>
      <c r="E457" s="1" t="s">
        <v>25</v>
      </c>
      <c r="F457" s="9">
        <f>DATE(YEAR(Table1[[#This Row],[Date]]), MONTH(Table1[[#This Row],[Date]]), 1)</f>
        <v>43525</v>
      </c>
    </row>
    <row r="458" spans="1:6" x14ac:dyDescent="0.25">
      <c r="A458" s="2">
        <v>43525</v>
      </c>
      <c r="B458" s="7">
        <v>13.09</v>
      </c>
      <c r="C458" s="1" t="s">
        <v>6</v>
      </c>
      <c r="D458" s="1" t="s">
        <v>39</v>
      </c>
      <c r="E458" s="1" t="s">
        <v>26</v>
      </c>
      <c r="F458" s="9">
        <f>DATE(YEAR(Table1[[#This Row],[Date]]), MONTH(Table1[[#This Row],[Date]]), 1)</f>
        <v>43525</v>
      </c>
    </row>
    <row r="459" spans="1:6" x14ac:dyDescent="0.25">
      <c r="A459" s="2">
        <v>43528</v>
      </c>
      <c r="B459" s="7">
        <v>92.04</v>
      </c>
      <c r="C459" s="1" t="s">
        <v>6</v>
      </c>
      <c r="D459" s="1" t="s">
        <v>14</v>
      </c>
      <c r="E459" s="1" t="s">
        <v>27</v>
      </c>
      <c r="F459" s="9">
        <f>DATE(YEAR(Table1[[#This Row],[Date]]), MONTH(Table1[[#This Row],[Date]]), 1)</f>
        <v>43525</v>
      </c>
    </row>
    <row r="460" spans="1:6" x14ac:dyDescent="0.25">
      <c r="A460" s="2">
        <v>43528</v>
      </c>
      <c r="B460" s="7">
        <v>1100</v>
      </c>
      <c r="C460" s="1" t="s">
        <v>6</v>
      </c>
      <c r="D460" s="1" t="s">
        <v>18</v>
      </c>
      <c r="E460" s="1" t="s">
        <v>32</v>
      </c>
      <c r="F460" s="9">
        <f>DATE(YEAR(Table1[[#This Row],[Date]]), MONTH(Table1[[#This Row],[Date]]), 1)</f>
        <v>43525</v>
      </c>
    </row>
    <row r="461" spans="1:6" x14ac:dyDescent="0.25">
      <c r="A461" s="2">
        <v>43528</v>
      </c>
      <c r="B461" s="7">
        <v>11.76</v>
      </c>
      <c r="C461" s="1" t="s">
        <v>6</v>
      </c>
      <c r="D461" s="1" t="s">
        <v>38</v>
      </c>
      <c r="E461" s="1" t="s">
        <v>26</v>
      </c>
      <c r="F461" s="9">
        <f>DATE(YEAR(Table1[[#This Row],[Date]]), MONTH(Table1[[#This Row],[Date]]), 1)</f>
        <v>43525</v>
      </c>
    </row>
    <row r="462" spans="1:6" x14ac:dyDescent="0.25">
      <c r="A462" s="2">
        <v>43529</v>
      </c>
      <c r="B462" s="7">
        <v>7</v>
      </c>
      <c r="C462" s="1" t="s">
        <v>6</v>
      </c>
      <c r="D462" s="1" t="s">
        <v>12</v>
      </c>
      <c r="E462" s="1" t="s">
        <v>27</v>
      </c>
      <c r="F462" s="9">
        <f>DATE(YEAR(Table1[[#This Row],[Date]]), MONTH(Table1[[#This Row],[Date]]), 1)</f>
        <v>43525</v>
      </c>
    </row>
    <row r="463" spans="1:6" x14ac:dyDescent="0.25">
      <c r="A463" s="2">
        <v>43532</v>
      </c>
      <c r="B463" s="7">
        <v>34.08</v>
      </c>
      <c r="C463" s="1" t="s">
        <v>6</v>
      </c>
      <c r="D463" s="1" t="s">
        <v>13</v>
      </c>
      <c r="E463" s="1" t="s">
        <v>26</v>
      </c>
      <c r="F463" s="9">
        <f>DATE(YEAR(Table1[[#This Row],[Date]]), MONTH(Table1[[#This Row],[Date]]), 1)</f>
        <v>43525</v>
      </c>
    </row>
    <row r="464" spans="1:6" x14ac:dyDescent="0.25">
      <c r="A464" s="2">
        <v>43532</v>
      </c>
      <c r="B464" s="7">
        <v>27.17</v>
      </c>
      <c r="C464" s="1" t="s">
        <v>6</v>
      </c>
      <c r="D464" s="1" t="s">
        <v>39</v>
      </c>
      <c r="E464" s="1" t="s">
        <v>26</v>
      </c>
      <c r="F464" s="9">
        <f>DATE(YEAR(Table1[[#This Row],[Date]]), MONTH(Table1[[#This Row],[Date]]), 1)</f>
        <v>43525</v>
      </c>
    </row>
    <row r="465" spans="1:6" x14ac:dyDescent="0.25">
      <c r="A465" s="2">
        <v>43532</v>
      </c>
      <c r="B465" s="7">
        <v>49</v>
      </c>
      <c r="C465" s="1" t="s">
        <v>6</v>
      </c>
      <c r="D465" s="1" t="s">
        <v>22</v>
      </c>
      <c r="E465" s="1" t="s">
        <v>32</v>
      </c>
      <c r="F465" s="9">
        <f>DATE(YEAR(Table1[[#This Row],[Date]]), MONTH(Table1[[#This Row],[Date]]), 1)</f>
        <v>43525</v>
      </c>
    </row>
    <row r="466" spans="1:6" x14ac:dyDescent="0.25">
      <c r="A466" s="2">
        <v>43533</v>
      </c>
      <c r="B466" s="7">
        <v>10.69</v>
      </c>
      <c r="C466" s="1" t="s">
        <v>6</v>
      </c>
      <c r="D466" s="1" t="s">
        <v>20</v>
      </c>
      <c r="E466" s="1" t="s">
        <v>26</v>
      </c>
      <c r="F466" s="9">
        <f>DATE(YEAR(Table1[[#This Row],[Date]]), MONTH(Table1[[#This Row],[Date]]), 1)</f>
        <v>43525</v>
      </c>
    </row>
    <row r="467" spans="1:6" x14ac:dyDescent="0.25">
      <c r="A467" s="2">
        <v>43536</v>
      </c>
      <c r="B467" s="7">
        <v>65</v>
      </c>
      <c r="C467" s="1" t="s">
        <v>6</v>
      </c>
      <c r="D467" s="1" t="s">
        <v>17</v>
      </c>
      <c r="E467" s="1" t="s">
        <v>32</v>
      </c>
      <c r="F467" s="9">
        <f>DATE(YEAR(Table1[[#This Row],[Date]]), MONTH(Table1[[#This Row],[Date]]), 1)</f>
        <v>43525</v>
      </c>
    </row>
    <row r="468" spans="1:6" x14ac:dyDescent="0.25">
      <c r="A468" s="2">
        <v>43536</v>
      </c>
      <c r="B468" s="7">
        <v>3.02</v>
      </c>
      <c r="C468" s="1" t="s">
        <v>6</v>
      </c>
      <c r="D468" s="1" t="s">
        <v>12</v>
      </c>
      <c r="E468" s="1" t="s">
        <v>26</v>
      </c>
      <c r="F468" s="9">
        <f>DATE(YEAR(Table1[[#This Row],[Date]]), MONTH(Table1[[#This Row],[Date]]), 1)</f>
        <v>43525</v>
      </c>
    </row>
    <row r="469" spans="1:6" x14ac:dyDescent="0.25">
      <c r="A469" s="2">
        <v>43538</v>
      </c>
      <c r="B469" s="7">
        <v>8</v>
      </c>
      <c r="C469" s="1" t="s">
        <v>6</v>
      </c>
      <c r="D469" s="1" t="s">
        <v>12</v>
      </c>
      <c r="E469" s="1" t="s">
        <v>26</v>
      </c>
      <c r="F469" s="9">
        <f>DATE(YEAR(Table1[[#This Row],[Date]]), MONTH(Table1[[#This Row],[Date]]), 1)</f>
        <v>43525</v>
      </c>
    </row>
    <row r="470" spans="1:6" x14ac:dyDescent="0.25">
      <c r="A470" s="2">
        <v>43539</v>
      </c>
      <c r="B470" s="7">
        <v>2000</v>
      </c>
      <c r="C470" s="1" t="s">
        <v>5</v>
      </c>
      <c r="D470" s="1" t="s">
        <v>21</v>
      </c>
      <c r="E470" s="1" t="s">
        <v>25</v>
      </c>
      <c r="F470" s="9">
        <f>DATE(YEAR(Table1[[#This Row],[Date]]), MONTH(Table1[[#This Row],[Date]]), 1)</f>
        <v>43525</v>
      </c>
    </row>
    <row r="471" spans="1:6" x14ac:dyDescent="0.25">
      <c r="A471" s="2">
        <v>43539</v>
      </c>
      <c r="B471" s="7">
        <v>60</v>
      </c>
      <c r="C471" s="1" t="s">
        <v>6</v>
      </c>
      <c r="D471" s="1" t="s">
        <v>22</v>
      </c>
      <c r="E471" s="1" t="s">
        <v>32</v>
      </c>
      <c r="F471" s="9">
        <f>DATE(YEAR(Table1[[#This Row],[Date]]), MONTH(Table1[[#This Row],[Date]]), 1)</f>
        <v>43525</v>
      </c>
    </row>
    <row r="472" spans="1:6" x14ac:dyDescent="0.25">
      <c r="A472" s="2">
        <v>43542</v>
      </c>
      <c r="B472" s="7">
        <v>320.99</v>
      </c>
      <c r="C472" s="1" t="s">
        <v>6</v>
      </c>
      <c r="D472" s="1" t="s">
        <v>10</v>
      </c>
      <c r="E472" s="1" t="s">
        <v>26</v>
      </c>
      <c r="F472" s="9">
        <f>DATE(YEAR(Table1[[#This Row],[Date]]), MONTH(Table1[[#This Row],[Date]]), 1)</f>
        <v>43525</v>
      </c>
    </row>
    <row r="473" spans="1:6" x14ac:dyDescent="0.25">
      <c r="A473" s="2">
        <v>43542</v>
      </c>
      <c r="B473" s="7">
        <v>16.23</v>
      </c>
      <c r="C473" s="1" t="s">
        <v>6</v>
      </c>
      <c r="D473" s="1" t="s">
        <v>14</v>
      </c>
      <c r="E473" s="1" t="s">
        <v>26</v>
      </c>
      <c r="F473" s="9">
        <f>DATE(YEAR(Table1[[#This Row],[Date]]), MONTH(Table1[[#This Row],[Date]]), 1)</f>
        <v>43525</v>
      </c>
    </row>
    <row r="474" spans="1:6" x14ac:dyDescent="0.25">
      <c r="A474" s="2">
        <v>43543</v>
      </c>
      <c r="B474" s="7">
        <v>13.84</v>
      </c>
      <c r="C474" s="1" t="s">
        <v>6</v>
      </c>
      <c r="D474" s="1" t="s">
        <v>39</v>
      </c>
      <c r="E474" s="1" t="s">
        <v>26</v>
      </c>
      <c r="F474" s="9">
        <f>DATE(YEAR(Table1[[#This Row],[Date]]), MONTH(Table1[[#This Row],[Date]]), 1)</f>
        <v>43525</v>
      </c>
    </row>
    <row r="475" spans="1:6" x14ac:dyDescent="0.25">
      <c r="A475" s="2">
        <v>43543</v>
      </c>
      <c r="B475" s="7">
        <v>35</v>
      </c>
      <c r="C475" s="1" t="s">
        <v>6</v>
      </c>
      <c r="D475" s="1" t="s">
        <v>22</v>
      </c>
      <c r="E475" s="1" t="s">
        <v>32</v>
      </c>
      <c r="F475" s="9">
        <f>DATE(YEAR(Table1[[#This Row],[Date]]), MONTH(Table1[[#This Row],[Date]]), 1)</f>
        <v>43525</v>
      </c>
    </row>
    <row r="476" spans="1:6" x14ac:dyDescent="0.25">
      <c r="A476" s="2">
        <v>43544</v>
      </c>
      <c r="B476" s="7">
        <v>75</v>
      </c>
      <c r="C476" s="1" t="s">
        <v>6</v>
      </c>
      <c r="D476" s="1" t="s">
        <v>8</v>
      </c>
      <c r="E476" s="1" t="s">
        <v>32</v>
      </c>
      <c r="F476" s="9">
        <f>DATE(YEAR(Table1[[#This Row],[Date]]), MONTH(Table1[[#This Row],[Date]]), 1)</f>
        <v>43525</v>
      </c>
    </row>
    <row r="477" spans="1:6" x14ac:dyDescent="0.25">
      <c r="A477" s="2">
        <v>43546</v>
      </c>
      <c r="B477" s="7">
        <v>37.51</v>
      </c>
      <c r="C477" s="1" t="s">
        <v>6</v>
      </c>
      <c r="D477" s="1" t="s">
        <v>13</v>
      </c>
      <c r="E477" s="1" t="s">
        <v>26</v>
      </c>
      <c r="F477" s="9">
        <f>DATE(YEAR(Table1[[#This Row],[Date]]), MONTH(Table1[[#This Row],[Date]]), 1)</f>
        <v>43525</v>
      </c>
    </row>
    <row r="478" spans="1:6" x14ac:dyDescent="0.25">
      <c r="A478" s="2">
        <v>43547</v>
      </c>
      <c r="B478" s="7">
        <v>5.2</v>
      </c>
      <c r="C478" s="1" t="s">
        <v>6</v>
      </c>
      <c r="D478" s="1" t="s">
        <v>9</v>
      </c>
      <c r="E478" s="1" t="s">
        <v>26</v>
      </c>
      <c r="F478" s="9">
        <f>DATE(YEAR(Table1[[#This Row],[Date]]), MONTH(Table1[[#This Row],[Date]]), 1)</f>
        <v>43525</v>
      </c>
    </row>
    <row r="479" spans="1:6" x14ac:dyDescent="0.25">
      <c r="A479" s="2">
        <v>43549</v>
      </c>
      <c r="B479" s="7">
        <v>75</v>
      </c>
      <c r="C479" s="1" t="s">
        <v>6</v>
      </c>
      <c r="D479" s="1" t="s">
        <v>2</v>
      </c>
      <c r="E479" s="1" t="s">
        <v>32</v>
      </c>
      <c r="F479" s="9">
        <f>DATE(YEAR(Table1[[#This Row],[Date]]), MONTH(Table1[[#This Row],[Date]]), 1)</f>
        <v>43525</v>
      </c>
    </row>
    <row r="480" spans="1:6" x14ac:dyDescent="0.25">
      <c r="A480" s="2">
        <v>43550</v>
      </c>
      <c r="B480" s="7">
        <v>16.04</v>
      </c>
      <c r="C480" s="1" t="s">
        <v>6</v>
      </c>
      <c r="D480" s="1" t="s">
        <v>39</v>
      </c>
      <c r="E480" s="1" t="s">
        <v>26</v>
      </c>
      <c r="F480" s="9">
        <f>DATE(YEAR(Table1[[#This Row],[Date]]), MONTH(Table1[[#This Row],[Date]]), 1)</f>
        <v>43525</v>
      </c>
    </row>
    <row r="481" spans="1:6" x14ac:dyDescent="0.25">
      <c r="A481" s="2">
        <v>43551</v>
      </c>
      <c r="B481" s="7">
        <v>49.63</v>
      </c>
      <c r="C481" s="1" t="s">
        <v>6</v>
      </c>
      <c r="D481" s="1" t="s">
        <v>7</v>
      </c>
      <c r="E481" s="1" t="s">
        <v>26</v>
      </c>
      <c r="F481" s="9">
        <f>DATE(YEAR(Table1[[#This Row],[Date]]), MONTH(Table1[[#This Row],[Date]]), 1)</f>
        <v>43525</v>
      </c>
    </row>
    <row r="482" spans="1:6" x14ac:dyDescent="0.25">
      <c r="A482" s="2">
        <v>43551</v>
      </c>
      <c r="B482" s="7">
        <v>4.46</v>
      </c>
      <c r="C482" s="1" t="s">
        <v>6</v>
      </c>
      <c r="D482" s="1" t="s">
        <v>14</v>
      </c>
      <c r="E482" s="1" t="s">
        <v>26</v>
      </c>
      <c r="F482" s="9">
        <f>DATE(YEAR(Table1[[#This Row],[Date]]), MONTH(Table1[[#This Row],[Date]]), 1)</f>
        <v>43525</v>
      </c>
    </row>
    <row r="483" spans="1:6" x14ac:dyDescent="0.25">
      <c r="A483" s="2">
        <v>43553</v>
      </c>
      <c r="B483" s="7">
        <v>2000</v>
      </c>
      <c r="C483" s="1" t="s">
        <v>5</v>
      </c>
      <c r="D483" s="1" t="s">
        <v>21</v>
      </c>
      <c r="E483" s="1" t="s">
        <v>25</v>
      </c>
      <c r="F483" s="9">
        <f>DATE(YEAR(Table1[[#This Row],[Date]]), MONTH(Table1[[#This Row],[Date]]), 1)</f>
        <v>43525</v>
      </c>
    </row>
    <row r="484" spans="1:6" x14ac:dyDescent="0.25">
      <c r="A484" s="2">
        <v>43554</v>
      </c>
      <c r="B484" s="7">
        <v>12.84</v>
      </c>
      <c r="C484" s="1" t="s">
        <v>6</v>
      </c>
      <c r="D484" s="1" t="s">
        <v>9</v>
      </c>
      <c r="E484" s="1" t="s">
        <v>26</v>
      </c>
      <c r="F484" s="9">
        <f>DATE(YEAR(Table1[[#This Row],[Date]]), MONTH(Table1[[#This Row],[Date]]), 1)</f>
        <v>43525</v>
      </c>
    </row>
    <row r="485" spans="1:6" x14ac:dyDescent="0.25">
      <c r="A485" s="2">
        <v>43556</v>
      </c>
      <c r="B485" s="7">
        <v>13.09</v>
      </c>
      <c r="C485" s="1" t="s">
        <v>6</v>
      </c>
      <c r="D485" s="1" t="s">
        <v>39</v>
      </c>
      <c r="E485" s="1" t="s">
        <v>26</v>
      </c>
      <c r="F485" s="9">
        <f>DATE(YEAR(Table1[[#This Row],[Date]]), MONTH(Table1[[#This Row],[Date]]), 1)</f>
        <v>43556</v>
      </c>
    </row>
    <row r="486" spans="1:6" x14ac:dyDescent="0.25">
      <c r="A486" s="2">
        <v>43557</v>
      </c>
      <c r="B486" s="7">
        <v>1100</v>
      </c>
      <c r="C486" s="1" t="s">
        <v>6</v>
      </c>
      <c r="D486" s="1" t="s">
        <v>18</v>
      </c>
      <c r="E486" s="1" t="s">
        <v>32</v>
      </c>
      <c r="F486" s="9">
        <f>DATE(YEAR(Table1[[#This Row],[Date]]), MONTH(Table1[[#This Row],[Date]]), 1)</f>
        <v>43556</v>
      </c>
    </row>
    <row r="487" spans="1:6" x14ac:dyDescent="0.25">
      <c r="A487" s="2">
        <v>43559</v>
      </c>
      <c r="B487" s="7">
        <v>5.64</v>
      </c>
      <c r="C487" s="1" t="s">
        <v>6</v>
      </c>
      <c r="D487" s="1" t="s">
        <v>14</v>
      </c>
      <c r="E487" s="1" t="s">
        <v>26</v>
      </c>
      <c r="F487" s="9">
        <f>DATE(YEAR(Table1[[#This Row],[Date]]), MONTH(Table1[[#This Row],[Date]]), 1)</f>
        <v>43556</v>
      </c>
    </row>
    <row r="488" spans="1:6" x14ac:dyDescent="0.25">
      <c r="A488" s="2">
        <v>43559</v>
      </c>
      <c r="B488" s="7">
        <v>35.9</v>
      </c>
      <c r="C488" s="1" t="s">
        <v>6</v>
      </c>
      <c r="D488" s="1" t="s">
        <v>39</v>
      </c>
      <c r="E488" s="1" t="s">
        <v>26</v>
      </c>
      <c r="F488" s="9">
        <f>DATE(YEAR(Table1[[#This Row],[Date]]), MONTH(Table1[[#This Row],[Date]]), 1)</f>
        <v>43556</v>
      </c>
    </row>
    <row r="489" spans="1:6" x14ac:dyDescent="0.25">
      <c r="A489" s="2">
        <v>43559</v>
      </c>
      <c r="B489" s="7">
        <v>11.76</v>
      </c>
      <c r="C489" s="1" t="s">
        <v>6</v>
      </c>
      <c r="D489" s="1" t="s">
        <v>38</v>
      </c>
      <c r="E489" s="1" t="s">
        <v>26</v>
      </c>
      <c r="F489" s="9">
        <f>DATE(YEAR(Table1[[#This Row],[Date]]), MONTH(Table1[[#This Row],[Date]]), 1)</f>
        <v>43556</v>
      </c>
    </row>
    <row r="490" spans="1:6" x14ac:dyDescent="0.25">
      <c r="A490" s="2">
        <v>43561</v>
      </c>
      <c r="B490" s="7">
        <v>27.54</v>
      </c>
      <c r="C490" s="1" t="s">
        <v>6</v>
      </c>
      <c r="D490" s="1" t="s">
        <v>39</v>
      </c>
      <c r="E490" s="1" t="s">
        <v>26</v>
      </c>
      <c r="F490" s="9">
        <f>DATE(YEAR(Table1[[#This Row],[Date]]), MONTH(Table1[[#This Row],[Date]]), 1)</f>
        <v>43556</v>
      </c>
    </row>
    <row r="491" spans="1:6" x14ac:dyDescent="0.25">
      <c r="A491" s="2">
        <v>43563</v>
      </c>
      <c r="B491" s="7">
        <v>30</v>
      </c>
      <c r="C491" s="1" t="s">
        <v>6</v>
      </c>
      <c r="D491" s="1" t="s">
        <v>22</v>
      </c>
      <c r="E491" s="1" t="s">
        <v>32</v>
      </c>
      <c r="F491" s="9">
        <f>DATE(YEAR(Table1[[#This Row],[Date]]), MONTH(Table1[[#This Row],[Date]]), 1)</f>
        <v>43556</v>
      </c>
    </row>
    <row r="492" spans="1:6" x14ac:dyDescent="0.25">
      <c r="A492" s="2">
        <v>43564</v>
      </c>
      <c r="B492" s="7">
        <v>10.7</v>
      </c>
      <c r="C492" s="1" t="s">
        <v>6</v>
      </c>
      <c r="D492" s="1" t="s">
        <v>14</v>
      </c>
      <c r="E492" s="1" t="s">
        <v>26</v>
      </c>
      <c r="F492" s="9">
        <f>DATE(YEAR(Table1[[#This Row],[Date]]), MONTH(Table1[[#This Row],[Date]]), 1)</f>
        <v>43556</v>
      </c>
    </row>
    <row r="493" spans="1:6" x14ac:dyDescent="0.25">
      <c r="A493" s="2">
        <v>43564</v>
      </c>
      <c r="B493" s="7">
        <v>30</v>
      </c>
      <c r="C493" s="1" t="s">
        <v>6</v>
      </c>
      <c r="D493" s="1" t="s">
        <v>15</v>
      </c>
      <c r="E493" s="1" t="s">
        <v>26</v>
      </c>
      <c r="F493" s="9">
        <f>DATE(YEAR(Table1[[#This Row],[Date]]), MONTH(Table1[[#This Row],[Date]]), 1)</f>
        <v>43556</v>
      </c>
    </row>
    <row r="494" spans="1:6" x14ac:dyDescent="0.25">
      <c r="A494" s="2">
        <v>43564</v>
      </c>
      <c r="B494" s="7">
        <v>10.69</v>
      </c>
      <c r="C494" s="1" t="s">
        <v>6</v>
      </c>
      <c r="D494" s="1" t="s">
        <v>20</v>
      </c>
      <c r="E494" s="1" t="s">
        <v>26</v>
      </c>
      <c r="F494" s="9">
        <f>DATE(YEAR(Table1[[#This Row],[Date]]), MONTH(Table1[[#This Row],[Date]]), 1)</f>
        <v>43556</v>
      </c>
    </row>
    <row r="495" spans="1:6" x14ac:dyDescent="0.25">
      <c r="A495" s="2">
        <v>43565</v>
      </c>
      <c r="B495" s="7">
        <v>65</v>
      </c>
      <c r="C495" s="1" t="s">
        <v>6</v>
      </c>
      <c r="D495" s="1" t="s">
        <v>17</v>
      </c>
      <c r="E495" s="1" t="s">
        <v>32</v>
      </c>
      <c r="F495" s="9">
        <f>DATE(YEAR(Table1[[#This Row],[Date]]), MONTH(Table1[[#This Row],[Date]]), 1)</f>
        <v>43556</v>
      </c>
    </row>
    <row r="496" spans="1:6" x14ac:dyDescent="0.25">
      <c r="A496" s="2">
        <v>43567</v>
      </c>
      <c r="B496" s="7">
        <v>44.93</v>
      </c>
      <c r="C496" s="1" t="s">
        <v>6</v>
      </c>
      <c r="D496" s="1" t="s">
        <v>10</v>
      </c>
      <c r="E496" s="1" t="s">
        <v>27</v>
      </c>
      <c r="F496" s="9">
        <f>DATE(YEAR(Table1[[#This Row],[Date]]), MONTH(Table1[[#This Row],[Date]]), 1)</f>
        <v>43556</v>
      </c>
    </row>
    <row r="497" spans="1:6" x14ac:dyDescent="0.25">
      <c r="A497" s="2">
        <v>43567</v>
      </c>
      <c r="B497" s="7">
        <v>41.34</v>
      </c>
      <c r="C497" s="1" t="s">
        <v>6</v>
      </c>
      <c r="D497" s="1" t="s">
        <v>14</v>
      </c>
      <c r="E497" s="1" t="s">
        <v>26</v>
      </c>
      <c r="F497" s="9">
        <f>DATE(YEAR(Table1[[#This Row],[Date]]), MONTH(Table1[[#This Row],[Date]]), 1)</f>
        <v>43556</v>
      </c>
    </row>
    <row r="498" spans="1:6" x14ac:dyDescent="0.25">
      <c r="A498" s="2">
        <v>43567</v>
      </c>
      <c r="B498" s="7">
        <v>2000</v>
      </c>
      <c r="C498" s="1" t="s">
        <v>5</v>
      </c>
      <c r="D498" s="1" t="s">
        <v>21</v>
      </c>
      <c r="E498" s="1" t="s">
        <v>25</v>
      </c>
      <c r="F498" s="9">
        <f>DATE(YEAR(Table1[[#This Row],[Date]]), MONTH(Table1[[#This Row],[Date]]), 1)</f>
        <v>43556</v>
      </c>
    </row>
    <row r="499" spans="1:6" x14ac:dyDescent="0.25">
      <c r="A499" s="2">
        <v>43568</v>
      </c>
      <c r="B499" s="7">
        <v>38.94</v>
      </c>
      <c r="C499" s="1" t="s">
        <v>6</v>
      </c>
      <c r="D499" s="1" t="s">
        <v>13</v>
      </c>
      <c r="E499" s="1" t="s">
        <v>26</v>
      </c>
      <c r="F499" s="9">
        <f>DATE(YEAR(Table1[[#This Row],[Date]]), MONTH(Table1[[#This Row],[Date]]), 1)</f>
        <v>43556</v>
      </c>
    </row>
    <row r="500" spans="1:6" x14ac:dyDescent="0.25">
      <c r="A500" s="2">
        <v>43568</v>
      </c>
      <c r="B500" s="7">
        <v>16.87</v>
      </c>
      <c r="C500" s="1" t="s">
        <v>6</v>
      </c>
      <c r="D500" s="1" t="s">
        <v>14</v>
      </c>
      <c r="E500" s="1" t="s">
        <v>26</v>
      </c>
      <c r="F500" s="9">
        <f>DATE(YEAR(Table1[[#This Row],[Date]]), MONTH(Table1[[#This Row],[Date]]), 1)</f>
        <v>43556</v>
      </c>
    </row>
    <row r="501" spans="1:6" x14ac:dyDescent="0.25">
      <c r="A501" s="2">
        <v>43568</v>
      </c>
      <c r="B501" s="7">
        <v>20.64</v>
      </c>
      <c r="C501" s="1" t="s">
        <v>6</v>
      </c>
      <c r="D501" s="1" t="s">
        <v>12</v>
      </c>
      <c r="E501" s="1" t="s">
        <v>26</v>
      </c>
      <c r="F501" s="9">
        <f>DATE(YEAR(Table1[[#This Row],[Date]]), MONTH(Table1[[#This Row],[Date]]), 1)</f>
        <v>43556</v>
      </c>
    </row>
    <row r="502" spans="1:6" x14ac:dyDescent="0.25">
      <c r="A502" s="2">
        <v>43570</v>
      </c>
      <c r="B502" s="7">
        <v>60</v>
      </c>
      <c r="C502" s="1" t="s">
        <v>6</v>
      </c>
      <c r="D502" s="1" t="s">
        <v>22</v>
      </c>
      <c r="E502" s="1" t="s">
        <v>32</v>
      </c>
      <c r="F502" s="9">
        <f>DATE(YEAR(Table1[[#This Row],[Date]]), MONTH(Table1[[#This Row],[Date]]), 1)</f>
        <v>43556</v>
      </c>
    </row>
    <row r="503" spans="1:6" x14ac:dyDescent="0.25">
      <c r="A503" s="2">
        <v>43571</v>
      </c>
      <c r="B503" s="7">
        <v>35</v>
      </c>
      <c r="C503" s="1" t="s">
        <v>6</v>
      </c>
      <c r="D503" s="1" t="s">
        <v>22</v>
      </c>
      <c r="E503" s="1" t="s">
        <v>32</v>
      </c>
      <c r="F503" s="9">
        <f>DATE(YEAR(Table1[[#This Row],[Date]]), MONTH(Table1[[#This Row],[Date]]), 1)</f>
        <v>43556</v>
      </c>
    </row>
    <row r="504" spans="1:6" x14ac:dyDescent="0.25">
      <c r="A504" s="2">
        <v>43573</v>
      </c>
      <c r="B504" s="7">
        <v>75</v>
      </c>
      <c r="C504" s="1" t="s">
        <v>6</v>
      </c>
      <c r="D504" s="1" t="s">
        <v>8</v>
      </c>
      <c r="E504" s="1" t="s">
        <v>32</v>
      </c>
      <c r="F504" s="9">
        <f>DATE(YEAR(Table1[[#This Row],[Date]]), MONTH(Table1[[#This Row],[Date]]), 1)</f>
        <v>43556</v>
      </c>
    </row>
    <row r="505" spans="1:6" x14ac:dyDescent="0.25">
      <c r="A505" s="2">
        <v>43574</v>
      </c>
      <c r="B505" s="7">
        <v>10.89</v>
      </c>
      <c r="C505" s="1" t="s">
        <v>6</v>
      </c>
      <c r="D505" s="1" t="s">
        <v>14</v>
      </c>
      <c r="E505" s="1" t="s">
        <v>26</v>
      </c>
      <c r="F505" s="9">
        <f>DATE(YEAR(Table1[[#This Row],[Date]]), MONTH(Table1[[#This Row],[Date]]), 1)</f>
        <v>43556</v>
      </c>
    </row>
    <row r="506" spans="1:6" x14ac:dyDescent="0.25">
      <c r="A506" s="2">
        <v>43577</v>
      </c>
      <c r="B506" s="7">
        <v>14.4</v>
      </c>
      <c r="C506" s="1" t="s">
        <v>6</v>
      </c>
      <c r="D506" s="1" t="s">
        <v>7</v>
      </c>
      <c r="E506" s="1" t="s">
        <v>27</v>
      </c>
      <c r="F506" s="9">
        <f>DATE(YEAR(Table1[[#This Row],[Date]]), MONTH(Table1[[#This Row],[Date]]), 1)</f>
        <v>43556</v>
      </c>
    </row>
    <row r="507" spans="1:6" x14ac:dyDescent="0.25">
      <c r="A507" s="2">
        <v>43577</v>
      </c>
      <c r="B507" s="7">
        <v>64.52</v>
      </c>
      <c r="C507" s="1" t="s">
        <v>6</v>
      </c>
      <c r="D507" s="1" t="s">
        <v>12</v>
      </c>
      <c r="E507" s="1" t="s">
        <v>27</v>
      </c>
      <c r="F507" s="9">
        <f>DATE(YEAR(Table1[[#This Row],[Date]]), MONTH(Table1[[#This Row],[Date]]), 1)</f>
        <v>43556</v>
      </c>
    </row>
    <row r="508" spans="1:6" x14ac:dyDescent="0.25">
      <c r="A508" s="2">
        <v>43578</v>
      </c>
      <c r="B508" s="7">
        <v>29.56</v>
      </c>
      <c r="C508" s="1" t="s">
        <v>6</v>
      </c>
      <c r="D508" s="1" t="s">
        <v>16</v>
      </c>
      <c r="E508" s="1" t="s">
        <v>27</v>
      </c>
      <c r="F508" s="9">
        <f>DATE(YEAR(Table1[[#This Row],[Date]]), MONTH(Table1[[#This Row],[Date]]), 1)</f>
        <v>43556</v>
      </c>
    </row>
    <row r="509" spans="1:6" x14ac:dyDescent="0.25">
      <c r="A509" s="2">
        <v>43580</v>
      </c>
      <c r="B509" s="7">
        <v>75</v>
      </c>
      <c r="C509" s="1" t="s">
        <v>6</v>
      </c>
      <c r="D509" s="1" t="s">
        <v>2</v>
      </c>
      <c r="E509" s="1" t="s">
        <v>32</v>
      </c>
      <c r="F509" s="9">
        <f>DATE(YEAR(Table1[[#This Row],[Date]]), MONTH(Table1[[#This Row],[Date]]), 1)</f>
        <v>43556</v>
      </c>
    </row>
    <row r="510" spans="1:6" x14ac:dyDescent="0.25">
      <c r="A510" s="2">
        <v>43581</v>
      </c>
      <c r="B510" s="7">
        <v>2000</v>
      </c>
      <c r="C510" s="1" t="s">
        <v>5</v>
      </c>
      <c r="D510" s="1" t="s">
        <v>21</v>
      </c>
      <c r="E510" s="1" t="s">
        <v>25</v>
      </c>
      <c r="F510" s="9">
        <f>DATE(YEAR(Table1[[#This Row],[Date]]), MONTH(Table1[[#This Row],[Date]]), 1)</f>
        <v>43556</v>
      </c>
    </row>
    <row r="511" spans="1:6" x14ac:dyDescent="0.25">
      <c r="A511" s="2">
        <v>43582</v>
      </c>
      <c r="B511" s="7">
        <v>40</v>
      </c>
      <c r="C511" s="1" t="s">
        <v>6</v>
      </c>
      <c r="D511" s="1" t="s">
        <v>7</v>
      </c>
      <c r="E511" s="1" t="s">
        <v>26</v>
      </c>
      <c r="F511" s="9">
        <f>DATE(YEAR(Table1[[#This Row],[Date]]), MONTH(Table1[[#This Row],[Date]]), 1)</f>
        <v>43556</v>
      </c>
    </row>
    <row r="512" spans="1:6" x14ac:dyDescent="0.25">
      <c r="A512" s="2">
        <v>43582</v>
      </c>
      <c r="B512" s="7">
        <v>14.74</v>
      </c>
      <c r="C512" s="1" t="s">
        <v>6</v>
      </c>
      <c r="D512" s="1" t="s">
        <v>12</v>
      </c>
      <c r="E512" s="1" t="s">
        <v>27</v>
      </c>
      <c r="F512" s="9">
        <f>DATE(YEAR(Table1[[#This Row],[Date]]), MONTH(Table1[[#This Row],[Date]]), 1)</f>
        <v>43556</v>
      </c>
    </row>
    <row r="513" spans="1:6" x14ac:dyDescent="0.25">
      <c r="A513" s="2">
        <v>43584</v>
      </c>
      <c r="B513" s="7">
        <v>5.64</v>
      </c>
      <c r="C513" s="1" t="s">
        <v>6</v>
      </c>
      <c r="D513" s="1" t="s">
        <v>14</v>
      </c>
      <c r="E513" s="1" t="s">
        <v>26</v>
      </c>
      <c r="F513" s="9">
        <f>DATE(YEAR(Table1[[#This Row],[Date]]), MONTH(Table1[[#This Row],[Date]]), 1)</f>
        <v>43556</v>
      </c>
    </row>
    <row r="514" spans="1:6" x14ac:dyDescent="0.25">
      <c r="A514" s="2">
        <v>43585</v>
      </c>
      <c r="B514" s="7">
        <v>39.08</v>
      </c>
      <c r="C514" s="1" t="s">
        <v>6</v>
      </c>
      <c r="D514" s="1" t="s">
        <v>13</v>
      </c>
      <c r="E514" s="1" t="s">
        <v>26</v>
      </c>
      <c r="F514" s="9">
        <f>DATE(YEAR(Table1[[#This Row],[Date]]), MONTH(Table1[[#This Row],[Date]]), 1)</f>
        <v>43556</v>
      </c>
    </row>
    <row r="515" spans="1:6" x14ac:dyDescent="0.25">
      <c r="A515" s="2">
        <v>43586</v>
      </c>
      <c r="B515" s="7">
        <v>13.09</v>
      </c>
      <c r="C515" s="1" t="s">
        <v>6</v>
      </c>
      <c r="D515" s="1" t="s">
        <v>39</v>
      </c>
      <c r="E515" s="1" t="s">
        <v>26</v>
      </c>
      <c r="F515" s="9">
        <f>DATE(YEAR(Table1[[#This Row],[Date]]), MONTH(Table1[[#This Row],[Date]]), 1)</f>
        <v>43586</v>
      </c>
    </row>
    <row r="516" spans="1:6" x14ac:dyDescent="0.25">
      <c r="A516" s="2">
        <v>43587</v>
      </c>
      <c r="B516" s="7">
        <v>1100</v>
      </c>
      <c r="C516" s="1" t="s">
        <v>6</v>
      </c>
      <c r="D516" s="1" t="s">
        <v>18</v>
      </c>
      <c r="E516" s="1" t="s">
        <v>32</v>
      </c>
      <c r="F516" s="9">
        <f>DATE(YEAR(Table1[[#This Row],[Date]]), MONTH(Table1[[#This Row],[Date]]), 1)</f>
        <v>43586</v>
      </c>
    </row>
    <row r="517" spans="1:6" x14ac:dyDescent="0.25">
      <c r="A517" s="2">
        <v>43589</v>
      </c>
      <c r="B517" s="7">
        <v>13.9</v>
      </c>
      <c r="C517" s="1" t="s">
        <v>6</v>
      </c>
      <c r="D517" s="1" t="s">
        <v>38</v>
      </c>
      <c r="E517" s="1" t="s">
        <v>26</v>
      </c>
      <c r="F517" s="9">
        <f>DATE(YEAR(Table1[[#This Row],[Date]]), MONTH(Table1[[#This Row],[Date]]), 1)</f>
        <v>43586</v>
      </c>
    </row>
    <row r="518" spans="1:6" x14ac:dyDescent="0.25">
      <c r="A518" s="2">
        <v>43591</v>
      </c>
      <c r="B518" s="7">
        <v>16.940000000000001</v>
      </c>
      <c r="C518" s="1" t="s">
        <v>6</v>
      </c>
      <c r="D518" s="1" t="s">
        <v>39</v>
      </c>
      <c r="E518" s="1" t="s">
        <v>26</v>
      </c>
      <c r="F518" s="9">
        <f>DATE(YEAR(Table1[[#This Row],[Date]]), MONTH(Table1[[#This Row],[Date]]), 1)</f>
        <v>43586</v>
      </c>
    </row>
    <row r="519" spans="1:6" x14ac:dyDescent="0.25">
      <c r="A519" s="2">
        <v>43592</v>
      </c>
      <c r="B519" s="7">
        <v>38.56</v>
      </c>
      <c r="C519" s="1" t="s">
        <v>6</v>
      </c>
      <c r="D519" s="1" t="s">
        <v>39</v>
      </c>
      <c r="E519" s="1" t="s">
        <v>26</v>
      </c>
      <c r="F519" s="9">
        <f>DATE(YEAR(Table1[[#This Row],[Date]]), MONTH(Table1[[#This Row],[Date]]), 1)</f>
        <v>43586</v>
      </c>
    </row>
    <row r="520" spans="1:6" x14ac:dyDescent="0.25">
      <c r="A520" s="2">
        <v>43594</v>
      </c>
      <c r="B520" s="7">
        <v>331.69</v>
      </c>
      <c r="C520" s="1" t="s">
        <v>6</v>
      </c>
      <c r="D520" s="1" t="s">
        <v>10</v>
      </c>
      <c r="E520" s="1" t="s">
        <v>26</v>
      </c>
      <c r="F520" s="9">
        <f>DATE(YEAR(Table1[[#This Row],[Date]]), MONTH(Table1[[#This Row],[Date]]), 1)</f>
        <v>43586</v>
      </c>
    </row>
    <row r="521" spans="1:6" x14ac:dyDescent="0.25">
      <c r="A521" s="2">
        <v>43594</v>
      </c>
      <c r="B521" s="7">
        <v>10.69</v>
      </c>
      <c r="C521" s="1" t="s">
        <v>6</v>
      </c>
      <c r="D521" s="1" t="s">
        <v>20</v>
      </c>
      <c r="E521" s="1" t="s">
        <v>26</v>
      </c>
      <c r="F521" s="9">
        <f>DATE(YEAR(Table1[[#This Row],[Date]]), MONTH(Table1[[#This Row],[Date]]), 1)</f>
        <v>43586</v>
      </c>
    </row>
    <row r="522" spans="1:6" x14ac:dyDescent="0.25">
      <c r="A522" s="2">
        <v>43594</v>
      </c>
      <c r="B522" s="7">
        <v>3.2</v>
      </c>
      <c r="C522" s="1" t="s">
        <v>6</v>
      </c>
      <c r="D522" s="1" t="s">
        <v>39</v>
      </c>
      <c r="E522" s="1" t="s">
        <v>26</v>
      </c>
      <c r="F522" s="9">
        <f>DATE(YEAR(Table1[[#This Row],[Date]]), MONTH(Table1[[#This Row],[Date]]), 1)</f>
        <v>43586</v>
      </c>
    </row>
    <row r="523" spans="1:6" x14ac:dyDescent="0.25">
      <c r="A523" s="2">
        <v>43594</v>
      </c>
      <c r="B523" s="7">
        <v>30</v>
      </c>
      <c r="C523" s="1" t="s">
        <v>6</v>
      </c>
      <c r="D523" s="1" t="s">
        <v>22</v>
      </c>
      <c r="E523" s="1" t="s">
        <v>32</v>
      </c>
      <c r="F523" s="9">
        <f>DATE(YEAR(Table1[[#This Row],[Date]]), MONTH(Table1[[#This Row],[Date]]), 1)</f>
        <v>43586</v>
      </c>
    </row>
    <row r="524" spans="1:6" x14ac:dyDescent="0.25">
      <c r="A524" s="2">
        <v>43595</v>
      </c>
      <c r="B524" s="7">
        <v>21.39</v>
      </c>
      <c r="C524" s="1" t="s">
        <v>6</v>
      </c>
      <c r="D524" s="1" t="s">
        <v>10</v>
      </c>
      <c r="E524" s="1" t="s">
        <v>27</v>
      </c>
      <c r="F524" s="9">
        <f>DATE(YEAR(Table1[[#This Row],[Date]]), MONTH(Table1[[#This Row],[Date]]), 1)</f>
        <v>43586</v>
      </c>
    </row>
    <row r="525" spans="1:6" x14ac:dyDescent="0.25">
      <c r="A525" s="2">
        <v>43595</v>
      </c>
      <c r="B525" s="7">
        <v>65</v>
      </c>
      <c r="C525" s="1" t="s">
        <v>6</v>
      </c>
      <c r="D525" s="1" t="s">
        <v>17</v>
      </c>
      <c r="E525" s="1" t="s">
        <v>32</v>
      </c>
      <c r="F525" s="9">
        <f>DATE(YEAR(Table1[[#This Row],[Date]]), MONTH(Table1[[#This Row],[Date]]), 1)</f>
        <v>43586</v>
      </c>
    </row>
    <row r="526" spans="1:6" x14ac:dyDescent="0.25">
      <c r="A526" s="2">
        <v>43595</v>
      </c>
      <c r="B526" s="7">
        <v>2000</v>
      </c>
      <c r="C526" s="1" t="s">
        <v>5</v>
      </c>
      <c r="D526" s="1" t="s">
        <v>21</v>
      </c>
      <c r="E526" s="1" t="s">
        <v>25</v>
      </c>
      <c r="F526" s="9">
        <f>DATE(YEAR(Table1[[#This Row],[Date]]), MONTH(Table1[[#This Row],[Date]]), 1)</f>
        <v>43586</v>
      </c>
    </row>
    <row r="527" spans="1:6" x14ac:dyDescent="0.25">
      <c r="A527" s="2">
        <v>43598</v>
      </c>
      <c r="B527" s="7">
        <v>35.24</v>
      </c>
      <c r="C527" s="1" t="s">
        <v>6</v>
      </c>
      <c r="D527" s="1" t="s">
        <v>13</v>
      </c>
      <c r="E527" s="1" t="s">
        <v>27</v>
      </c>
      <c r="F527" s="9">
        <f>DATE(YEAR(Table1[[#This Row],[Date]]), MONTH(Table1[[#This Row],[Date]]), 1)</f>
        <v>43586</v>
      </c>
    </row>
    <row r="528" spans="1:6" x14ac:dyDescent="0.25">
      <c r="A528" s="2">
        <v>43598</v>
      </c>
      <c r="B528" s="7">
        <v>98.19</v>
      </c>
      <c r="C528" s="1" t="s">
        <v>6</v>
      </c>
      <c r="D528" s="1" t="s">
        <v>12</v>
      </c>
      <c r="E528" s="1" t="s">
        <v>27</v>
      </c>
      <c r="F528" s="9">
        <f>DATE(YEAR(Table1[[#This Row],[Date]]), MONTH(Table1[[#This Row],[Date]]), 1)</f>
        <v>43586</v>
      </c>
    </row>
    <row r="529" spans="1:6" x14ac:dyDescent="0.25">
      <c r="A529" s="2">
        <v>43598</v>
      </c>
      <c r="B529" s="7">
        <v>23.11</v>
      </c>
      <c r="C529" s="1" t="s">
        <v>6</v>
      </c>
      <c r="D529" s="1" t="s">
        <v>12</v>
      </c>
      <c r="E529" s="1" t="s">
        <v>27</v>
      </c>
      <c r="F529" s="9">
        <f>DATE(YEAR(Table1[[#This Row],[Date]]), MONTH(Table1[[#This Row],[Date]]), 1)</f>
        <v>43586</v>
      </c>
    </row>
    <row r="530" spans="1:6" x14ac:dyDescent="0.25">
      <c r="A530" s="2">
        <v>43599</v>
      </c>
      <c r="B530" s="7">
        <v>2.02</v>
      </c>
      <c r="C530" s="1" t="s">
        <v>6</v>
      </c>
      <c r="D530" s="1" t="s">
        <v>14</v>
      </c>
      <c r="E530" s="1" t="s">
        <v>27</v>
      </c>
      <c r="F530" s="9">
        <f>DATE(YEAR(Table1[[#This Row],[Date]]), MONTH(Table1[[#This Row],[Date]]), 1)</f>
        <v>43586</v>
      </c>
    </row>
    <row r="531" spans="1:6" x14ac:dyDescent="0.25">
      <c r="A531" s="2">
        <v>43600</v>
      </c>
      <c r="B531" s="7">
        <v>60</v>
      </c>
      <c r="C531" s="1" t="s">
        <v>6</v>
      </c>
      <c r="D531" s="1" t="s">
        <v>22</v>
      </c>
      <c r="E531" s="1" t="s">
        <v>32</v>
      </c>
      <c r="F531" s="9">
        <f>DATE(YEAR(Table1[[#This Row],[Date]]), MONTH(Table1[[#This Row],[Date]]), 1)</f>
        <v>43586</v>
      </c>
    </row>
    <row r="532" spans="1:6" x14ac:dyDescent="0.25">
      <c r="A532" s="2">
        <v>43602</v>
      </c>
      <c r="B532" s="7">
        <v>35</v>
      </c>
      <c r="C532" s="1" t="s">
        <v>6</v>
      </c>
      <c r="D532" s="1" t="s">
        <v>22</v>
      </c>
      <c r="E532" s="1" t="s">
        <v>32</v>
      </c>
      <c r="F532" s="9">
        <f>DATE(YEAR(Table1[[#This Row],[Date]]), MONTH(Table1[[#This Row],[Date]]), 1)</f>
        <v>43586</v>
      </c>
    </row>
    <row r="533" spans="1:6" x14ac:dyDescent="0.25">
      <c r="A533" s="2">
        <v>43605</v>
      </c>
      <c r="B533" s="7">
        <v>75</v>
      </c>
      <c r="C533" s="1" t="s">
        <v>6</v>
      </c>
      <c r="D533" s="1" t="s">
        <v>8</v>
      </c>
      <c r="E533" s="1" t="s">
        <v>32</v>
      </c>
      <c r="F533" s="9">
        <f>DATE(YEAR(Table1[[#This Row],[Date]]), MONTH(Table1[[#This Row],[Date]]), 1)</f>
        <v>43586</v>
      </c>
    </row>
    <row r="534" spans="1:6" x14ac:dyDescent="0.25">
      <c r="A534" s="2">
        <v>43605</v>
      </c>
      <c r="B534" s="7">
        <v>32.53</v>
      </c>
      <c r="C534" s="1" t="s">
        <v>6</v>
      </c>
      <c r="D534" s="1" t="s">
        <v>12</v>
      </c>
      <c r="E534" s="1" t="s">
        <v>27</v>
      </c>
      <c r="F534" s="9">
        <f>DATE(YEAR(Table1[[#This Row],[Date]]), MONTH(Table1[[#This Row],[Date]]), 1)</f>
        <v>43586</v>
      </c>
    </row>
    <row r="535" spans="1:6" x14ac:dyDescent="0.25">
      <c r="A535" s="2">
        <v>43609</v>
      </c>
      <c r="B535" s="7">
        <v>27.96</v>
      </c>
      <c r="C535" s="1" t="s">
        <v>6</v>
      </c>
      <c r="D535" s="1" t="s">
        <v>16</v>
      </c>
      <c r="E535" s="1" t="s">
        <v>26</v>
      </c>
      <c r="F535" s="9">
        <f>DATE(YEAR(Table1[[#This Row],[Date]]), MONTH(Table1[[#This Row],[Date]]), 1)</f>
        <v>43586</v>
      </c>
    </row>
    <row r="536" spans="1:6" x14ac:dyDescent="0.25">
      <c r="A536" s="2">
        <v>43609</v>
      </c>
      <c r="B536" s="7">
        <v>2000</v>
      </c>
      <c r="C536" s="1" t="s">
        <v>5</v>
      </c>
      <c r="D536" s="1" t="s">
        <v>21</v>
      </c>
      <c r="E536" s="1" t="s">
        <v>25</v>
      </c>
      <c r="F536" s="9">
        <f>DATE(YEAR(Table1[[#This Row],[Date]]), MONTH(Table1[[#This Row],[Date]]), 1)</f>
        <v>43586</v>
      </c>
    </row>
    <row r="537" spans="1:6" x14ac:dyDescent="0.25">
      <c r="A537" s="2">
        <v>43609</v>
      </c>
      <c r="B537" s="7">
        <v>8</v>
      </c>
      <c r="C537" s="1" t="s">
        <v>6</v>
      </c>
      <c r="D537" s="1" t="s">
        <v>12</v>
      </c>
      <c r="E537" s="1" t="s">
        <v>26</v>
      </c>
      <c r="F537" s="9">
        <f>DATE(YEAR(Table1[[#This Row],[Date]]), MONTH(Table1[[#This Row],[Date]]), 1)</f>
        <v>43586</v>
      </c>
    </row>
    <row r="538" spans="1:6" x14ac:dyDescent="0.25">
      <c r="A538" s="2">
        <v>43610</v>
      </c>
      <c r="B538" s="7">
        <v>36.76</v>
      </c>
      <c r="C538" s="1" t="s">
        <v>6</v>
      </c>
      <c r="D538" s="1" t="s">
        <v>13</v>
      </c>
      <c r="E538" s="1" t="s">
        <v>26</v>
      </c>
      <c r="F538" s="9">
        <f>DATE(YEAR(Table1[[#This Row],[Date]]), MONTH(Table1[[#This Row],[Date]]), 1)</f>
        <v>43586</v>
      </c>
    </row>
    <row r="539" spans="1:6" x14ac:dyDescent="0.25">
      <c r="A539" s="2">
        <v>43610</v>
      </c>
      <c r="B539" s="7">
        <v>30.99</v>
      </c>
      <c r="C539" s="1" t="s">
        <v>6</v>
      </c>
      <c r="D539" s="1" t="s">
        <v>16</v>
      </c>
      <c r="E539" s="1" t="s">
        <v>26</v>
      </c>
      <c r="F539" s="9">
        <f>DATE(YEAR(Table1[[#This Row],[Date]]), MONTH(Table1[[#This Row],[Date]]), 1)</f>
        <v>43586</v>
      </c>
    </row>
    <row r="540" spans="1:6" x14ac:dyDescent="0.25">
      <c r="A540" s="2">
        <v>43612</v>
      </c>
      <c r="B540" s="7">
        <v>34.33</v>
      </c>
      <c r="C540" s="1" t="s">
        <v>6</v>
      </c>
      <c r="D540" s="1" t="s">
        <v>12</v>
      </c>
      <c r="E540" s="1" t="s">
        <v>26</v>
      </c>
      <c r="F540" s="9">
        <f>DATE(YEAR(Table1[[#This Row],[Date]]), MONTH(Table1[[#This Row],[Date]]), 1)</f>
        <v>43586</v>
      </c>
    </row>
    <row r="541" spans="1:6" x14ac:dyDescent="0.25">
      <c r="A541" s="2">
        <v>43615</v>
      </c>
      <c r="B541" s="7">
        <v>75</v>
      </c>
      <c r="C541" s="1" t="s">
        <v>6</v>
      </c>
      <c r="D541" s="1" t="s">
        <v>2</v>
      </c>
      <c r="E541" s="1" t="s">
        <v>32</v>
      </c>
      <c r="F541" s="9">
        <f>DATE(YEAR(Table1[[#This Row],[Date]]), MONTH(Table1[[#This Row],[Date]]), 1)</f>
        <v>43586</v>
      </c>
    </row>
    <row r="542" spans="1:6" x14ac:dyDescent="0.25">
      <c r="A542" s="2">
        <v>43615</v>
      </c>
      <c r="B542" s="7">
        <v>34.82</v>
      </c>
      <c r="C542" s="1" t="s">
        <v>6</v>
      </c>
      <c r="D542" s="1" t="s">
        <v>12</v>
      </c>
      <c r="E542" s="1" t="s">
        <v>26</v>
      </c>
      <c r="F542" s="9">
        <f>DATE(YEAR(Table1[[#This Row],[Date]]), MONTH(Table1[[#This Row],[Date]]), 1)</f>
        <v>43586</v>
      </c>
    </row>
    <row r="543" spans="1:6" x14ac:dyDescent="0.25">
      <c r="A543" s="2">
        <v>43617</v>
      </c>
      <c r="B543" s="7">
        <v>13.09</v>
      </c>
      <c r="C543" s="1" t="s">
        <v>6</v>
      </c>
      <c r="D543" s="1" t="s">
        <v>39</v>
      </c>
      <c r="E543" s="1" t="s">
        <v>26</v>
      </c>
      <c r="F543" s="9">
        <f>DATE(YEAR(Table1[[#This Row],[Date]]), MONTH(Table1[[#This Row],[Date]]), 1)</f>
        <v>43617</v>
      </c>
    </row>
    <row r="544" spans="1:6" x14ac:dyDescent="0.25">
      <c r="A544" s="2">
        <v>43619</v>
      </c>
      <c r="B544" s="7">
        <v>2.75</v>
      </c>
      <c r="C544" s="1" t="s">
        <v>6</v>
      </c>
      <c r="D544" s="1" t="s">
        <v>9</v>
      </c>
      <c r="E544" s="1" t="s">
        <v>26</v>
      </c>
      <c r="F544" s="9">
        <f>DATE(YEAR(Table1[[#This Row],[Date]]), MONTH(Table1[[#This Row],[Date]]), 1)</f>
        <v>43617</v>
      </c>
    </row>
    <row r="545" spans="1:6" x14ac:dyDescent="0.25">
      <c r="A545" s="2">
        <v>43619</v>
      </c>
      <c r="B545" s="7">
        <v>1100</v>
      </c>
      <c r="C545" s="1" t="s">
        <v>6</v>
      </c>
      <c r="D545" s="1" t="s">
        <v>18</v>
      </c>
      <c r="E545" s="1" t="s">
        <v>32</v>
      </c>
      <c r="F545" s="9">
        <f>DATE(YEAR(Table1[[#This Row],[Date]]), MONTH(Table1[[#This Row],[Date]]), 1)</f>
        <v>43617</v>
      </c>
    </row>
    <row r="546" spans="1:6" x14ac:dyDescent="0.25">
      <c r="A546" s="2">
        <v>43620</v>
      </c>
      <c r="B546" s="7">
        <v>30</v>
      </c>
      <c r="C546" s="1" t="s">
        <v>6</v>
      </c>
      <c r="D546" s="1" t="s">
        <v>15</v>
      </c>
      <c r="E546" s="1" t="s">
        <v>26</v>
      </c>
      <c r="F546" s="9">
        <f>DATE(YEAR(Table1[[#This Row],[Date]]), MONTH(Table1[[#This Row],[Date]]), 1)</f>
        <v>43617</v>
      </c>
    </row>
    <row r="547" spans="1:6" x14ac:dyDescent="0.25">
      <c r="A547" s="2">
        <v>43620</v>
      </c>
      <c r="B547" s="7">
        <v>13.9</v>
      </c>
      <c r="C547" s="1" t="s">
        <v>6</v>
      </c>
      <c r="D547" s="1" t="s">
        <v>38</v>
      </c>
      <c r="E547" s="1" t="s">
        <v>26</v>
      </c>
      <c r="F547" s="9">
        <f>DATE(YEAR(Table1[[#This Row],[Date]]), MONTH(Table1[[#This Row],[Date]]), 1)</f>
        <v>43617</v>
      </c>
    </row>
    <row r="548" spans="1:6" x14ac:dyDescent="0.25">
      <c r="A548" s="2">
        <v>43621</v>
      </c>
      <c r="B548" s="7">
        <v>23</v>
      </c>
      <c r="C548" s="1" t="s">
        <v>6</v>
      </c>
      <c r="D548" s="1" t="s">
        <v>14</v>
      </c>
      <c r="E548" s="1" t="s">
        <v>26</v>
      </c>
      <c r="F548" s="9">
        <f>DATE(YEAR(Table1[[#This Row],[Date]]), MONTH(Table1[[#This Row],[Date]]), 1)</f>
        <v>43617</v>
      </c>
    </row>
    <row r="549" spans="1:6" x14ac:dyDescent="0.25">
      <c r="A549" s="2">
        <v>43621</v>
      </c>
      <c r="B549" s="7">
        <v>23.24</v>
      </c>
      <c r="C549" s="1" t="s">
        <v>6</v>
      </c>
      <c r="D549" s="1" t="s">
        <v>12</v>
      </c>
      <c r="E549" s="1" t="s">
        <v>26</v>
      </c>
      <c r="F549" s="9">
        <f>DATE(YEAR(Table1[[#This Row],[Date]]), MONTH(Table1[[#This Row],[Date]]), 1)</f>
        <v>43617</v>
      </c>
    </row>
    <row r="550" spans="1:6" x14ac:dyDescent="0.25">
      <c r="A550" s="2">
        <v>43622</v>
      </c>
      <c r="B550" s="7">
        <v>3.75</v>
      </c>
      <c r="C550" s="1" t="s">
        <v>6</v>
      </c>
      <c r="D550" s="1" t="s">
        <v>9</v>
      </c>
      <c r="E550" s="1" t="s">
        <v>26</v>
      </c>
      <c r="F550" s="9">
        <f>DATE(YEAR(Table1[[#This Row],[Date]]), MONTH(Table1[[#This Row],[Date]]), 1)</f>
        <v>43617</v>
      </c>
    </row>
    <row r="551" spans="1:6" x14ac:dyDescent="0.25">
      <c r="A551" s="2">
        <v>43622</v>
      </c>
      <c r="B551" s="7">
        <v>5.64</v>
      </c>
      <c r="C551" s="1" t="s">
        <v>6</v>
      </c>
      <c r="D551" s="1" t="s">
        <v>14</v>
      </c>
      <c r="E551" s="1" t="s">
        <v>26</v>
      </c>
      <c r="F551" s="9">
        <f>DATE(YEAR(Table1[[#This Row],[Date]]), MONTH(Table1[[#This Row],[Date]]), 1)</f>
        <v>43617</v>
      </c>
    </row>
    <row r="552" spans="1:6" x14ac:dyDescent="0.25">
      <c r="A552" s="2">
        <v>43623</v>
      </c>
      <c r="B552" s="7">
        <v>2000</v>
      </c>
      <c r="C552" s="1" t="s">
        <v>5</v>
      </c>
      <c r="D552" s="1" t="s">
        <v>21</v>
      </c>
      <c r="E552" s="1" t="s">
        <v>25</v>
      </c>
      <c r="F552" s="9">
        <f>DATE(YEAR(Table1[[#This Row],[Date]]), MONTH(Table1[[#This Row],[Date]]), 1)</f>
        <v>43617</v>
      </c>
    </row>
    <row r="553" spans="1:6" x14ac:dyDescent="0.25">
      <c r="A553" s="2">
        <v>43623</v>
      </c>
      <c r="B553" s="7">
        <v>30</v>
      </c>
      <c r="C553" s="1" t="s">
        <v>6</v>
      </c>
      <c r="D553" s="1" t="s">
        <v>22</v>
      </c>
      <c r="E553" s="1" t="s">
        <v>32</v>
      </c>
      <c r="F553" s="9">
        <f>DATE(YEAR(Table1[[#This Row],[Date]]), MONTH(Table1[[#This Row],[Date]]), 1)</f>
        <v>43617</v>
      </c>
    </row>
    <row r="554" spans="1:6" x14ac:dyDescent="0.25">
      <c r="A554" s="2">
        <v>43625</v>
      </c>
      <c r="B554" s="7">
        <v>10.69</v>
      </c>
      <c r="C554" s="1" t="s">
        <v>6</v>
      </c>
      <c r="D554" s="1" t="s">
        <v>20</v>
      </c>
      <c r="E554" s="1" t="s">
        <v>26</v>
      </c>
      <c r="F554" s="9">
        <f>DATE(YEAR(Table1[[#This Row],[Date]]), MONTH(Table1[[#This Row],[Date]]), 1)</f>
        <v>43617</v>
      </c>
    </row>
    <row r="555" spans="1:6" x14ac:dyDescent="0.25">
      <c r="A555" s="2">
        <v>43628</v>
      </c>
      <c r="B555" s="7">
        <v>65</v>
      </c>
      <c r="C555" s="1" t="s">
        <v>6</v>
      </c>
      <c r="D555" s="1" t="s">
        <v>17</v>
      </c>
      <c r="E555" s="1" t="s">
        <v>32</v>
      </c>
      <c r="F555" s="9">
        <f>DATE(YEAR(Table1[[#This Row],[Date]]), MONTH(Table1[[#This Row],[Date]]), 1)</f>
        <v>43617</v>
      </c>
    </row>
    <row r="556" spans="1:6" x14ac:dyDescent="0.25">
      <c r="A556" s="2">
        <v>43630</v>
      </c>
      <c r="B556" s="7">
        <v>10.69</v>
      </c>
      <c r="C556" s="1" t="s">
        <v>6</v>
      </c>
      <c r="D556" s="1" t="s">
        <v>14</v>
      </c>
      <c r="E556" s="1" t="s">
        <v>27</v>
      </c>
      <c r="F556" s="9">
        <f>DATE(YEAR(Table1[[#This Row],[Date]]), MONTH(Table1[[#This Row],[Date]]), 1)</f>
        <v>43617</v>
      </c>
    </row>
    <row r="557" spans="1:6" x14ac:dyDescent="0.25">
      <c r="A557" s="2">
        <v>43631</v>
      </c>
      <c r="B557" s="7">
        <v>33.159999999999997</v>
      </c>
      <c r="C557" s="1" t="s">
        <v>6</v>
      </c>
      <c r="D557" s="1" t="s">
        <v>13</v>
      </c>
      <c r="E557" s="1" t="s">
        <v>27</v>
      </c>
      <c r="F557" s="9">
        <f>DATE(YEAR(Table1[[#This Row],[Date]]), MONTH(Table1[[#This Row],[Date]]), 1)</f>
        <v>43617</v>
      </c>
    </row>
    <row r="558" spans="1:6" x14ac:dyDescent="0.25">
      <c r="A558" s="2">
        <v>43633</v>
      </c>
      <c r="B558" s="7">
        <v>35</v>
      </c>
      <c r="C558" s="1" t="s">
        <v>6</v>
      </c>
      <c r="D558" s="1" t="s">
        <v>22</v>
      </c>
      <c r="E558" s="1" t="s">
        <v>32</v>
      </c>
      <c r="F558" s="9">
        <f>DATE(YEAR(Table1[[#This Row],[Date]]), MONTH(Table1[[#This Row],[Date]]), 1)</f>
        <v>43617</v>
      </c>
    </row>
    <row r="559" spans="1:6" x14ac:dyDescent="0.25">
      <c r="A559" s="2">
        <v>43633</v>
      </c>
      <c r="B559" s="7">
        <v>60</v>
      </c>
      <c r="C559" s="1" t="s">
        <v>6</v>
      </c>
      <c r="D559" s="1" t="s">
        <v>22</v>
      </c>
      <c r="E559" s="1" t="s">
        <v>32</v>
      </c>
      <c r="F559" s="9">
        <f>DATE(YEAR(Table1[[#This Row],[Date]]), MONTH(Table1[[#This Row],[Date]]), 1)</f>
        <v>43617</v>
      </c>
    </row>
    <row r="560" spans="1:6" x14ac:dyDescent="0.25">
      <c r="A560" s="2">
        <v>43634</v>
      </c>
      <c r="B560" s="7">
        <v>15</v>
      </c>
      <c r="C560" s="1" t="s">
        <v>6</v>
      </c>
      <c r="D560" s="1" t="s">
        <v>7</v>
      </c>
      <c r="E560" s="1" t="s">
        <v>27</v>
      </c>
      <c r="F560" s="9">
        <f>DATE(YEAR(Table1[[#This Row],[Date]]), MONTH(Table1[[#This Row],[Date]]), 1)</f>
        <v>43617</v>
      </c>
    </row>
    <row r="561" spans="1:6" x14ac:dyDescent="0.25">
      <c r="A561" s="2">
        <v>43634</v>
      </c>
      <c r="B561" s="7">
        <v>41.83</v>
      </c>
      <c r="C561" s="1" t="s">
        <v>6</v>
      </c>
      <c r="D561" s="1" t="s">
        <v>13</v>
      </c>
      <c r="E561" s="1" t="s">
        <v>27</v>
      </c>
      <c r="F561" s="9">
        <f>DATE(YEAR(Table1[[#This Row],[Date]]), MONTH(Table1[[#This Row],[Date]]), 1)</f>
        <v>43617</v>
      </c>
    </row>
    <row r="562" spans="1:6" x14ac:dyDescent="0.25">
      <c r="A562" s="2">
        <v>43635</v>
      </c>
      <c r="B562" s="7">
        <v>75</v>
      </c>
      <c r="C562" s="1" t="s">
        <v>6</v>
      </c>
      <c r="D562" s="1" t="s">
        <v>8</v>
      </c>
      <c r="E562" s="1" t="s">
        <v>32</v>
      </c>
      <c r="F562" s="9">
        <f>DATE(YEAR(Table1[[#This Row],[Date]]), MONTH(Table1[[#This Row],[Date]]), 1)</f>
        <v>43617</v>
      </c>
    </row>
    <row r="563" spans="1:6" x14ac:dyDescent="0.25">
      <c r="A563" s="2">
        <v>43636</v>
      </c>
      <c r="B563" s="7">
        <v>9200</v>
      </c>
      <c r="C563" s="1" t="s">
        <v>6</v>
      </c>
      <c r="D563" s="1" t="s">
        <v>16</v>
      </c>
      <c r="E563" s="1" t="s">
        <v>32</v>
      </c>
      <c r="F563" s="9">
        <f>DATE(YEAR(Table1[[#This Row],[Date]]), MONTH(Table1[[#This Row],[Date]]), 1)</f>
        <v>43617</v>
      </c>
    </row>
    <row r="564" spans="1:6" x14ac:dyDescent="0.25">
      <c r="A564" s="2">
        <v>43637</v>
      </c>
      <c r="B564" s="7">
        <v>2000</v>
      </c>
      <c r="C564" s="1" t="s">
        <v>5</v>
      </c>
      <c r="D564" s="1" t="s">
        <v>21</v>
      </c>
      <c r="E564" s="1" t="s">
        <v>25</v>
      </c>
      <c r="F564" s="9">
        <f>DATE(YEAR(Table1[[#This Row],[Date]]), MONTH(Table1[[#This Row],[Date]]), 1)</f>
        <v>43617</v>
      </c>
    </row>
    <row r="565" spans="1:6" x14ac:dyDescent="0.25">
      <c r="A565" s="2">
        <v>43640</v>
      </c>
      <c r="B565" s="7">
        <v>15</v>
      </c>
      <c r="C565" s="1" t="s">
        <v>6</v>
      </c>
      <c r="D565" s="1" t="s">
        <v>7</v>
      </c>
      <c r="E565" s="1" t="s">
        <v>27</v>
      </c>
      <c r="F565" s="9">
        <f>DATE(YEAR(Table1[[#This Row],[Date]]), MONTH(Table1[[#This Row],[Date]]), 1)</f>
        <v>43617</v>
      </c>
    </row>
    <row r="566" spans="1:6" x14ac:dyDescent="0.25">
      <c r="A566" s="2">
        <v>43644</v>
      </c>
      <c r="B566" s="7">
        <v>30.64</v>
      </c>
      <c r="C566" s="1" t="s">
        <v>6</v>
      </c>
      <c r="D566" s="1" t="s">
        <v>13</v>
      </c>
      <c r="E566" s="1" t="s">
        <v>27</v>
      </c>
      <c r="F566" s="9">
        <f>DATE(YEAR(Table1[[#This Row],[Date]]), MONTH(Table1[[#This Row],[Date]]), 1)</f>
        <v>43617</v>
      </c>
    </row>
    <row r="567" spans="1:6" x14ac:dyDescent="0.25">
      <c r="A567" s="2">
        <v>43646</v>
      </c>
      <c r="B567" s="7">
        <v>75</v>
      </c>
      <c r="C567" s="1" t="s">
        <v>6</v>
      </c>
      <c r="D567" s="1" t="s">
        <v>2</v>
      </c>
      <c r="E567" s="1" t="s">
        <v>32</v>
      </c>
      <c r="F567" s="9">
        <f>DATE(YEAR(Table1[[#This Row],[Date]]), MONTH(Table1[[#This Row],[Date]]), 1)</f>
        <v>43617</v>
      </c>
    </row>
    <row r="568" spans="1:6" x14ac:dyDescent="0.25">
      <c r="A568" s="2">
        <v>43647</v>
      </c>
      <c r="B568" s="7">
        <v>7</v>
      </c>
      <c r="C568" s="1" t="s">
        <v>6</v>
      </c>
      <c r="D568" s="1" t="s">
        <v>9</v>
      </c>
      <c r="E568" s="1" t="s">
        <v>27</v>
      </c>
      <c r="F568" s="9">
        <f>DATE(YEAR(Table1[[#This Row],[Date]]), MONTH(Table1[[#This Row],[Date]]), 1)</f>
        <v>43647</v>
      </c>
    </row>
    <row r="569" spans="1:6" x14ac:dyDescent="0.25">
      <c r="A569" s="2">
        <v>43647</v>
      </c>
      <c r="B569" s="7">
        <v>99.47</v>
      </c>
      <c r="C569" s="1" t="s">
        <v>6</v>
      </c>
      <c r="D569" s="1" t="s">
        <v>14</v>
      </c>
      <c r="E569" s="1" t="s">
        <v>27</v>
      </c>
      <c r="F569" s="9">
        <f>DATE(YEAR(Table1[[#This Row],[Date]]), MONTH(Table1[[#This Row],[Date]]), 1)</f>
        <v>43647</v>
      </c>
    </row>
    <row r="570" spans="1:6" x14ac:dyDescent="0.25">
      <c r="A570" s="2">
        <v>43647</v>
      </c>
      <c r="B570" s="7">
        <v>24.97</v>
      </c>
      <c r="C570" s="1" t="s">
        <v>6</v>
      </c>
      <c r="D570" s="1" t="s">
        <v>12</v>
      </c>
      <c r="E570" s="1" t="s">
        <v>27</v>
      </c>
      <c r="F570" s="9">
        <f>DATE(YEAR(Table1[[#This Row],[Date]]), MONTH(Table1[[#This Row],[Date]]), 1)</f>
        <v>43647</v>
      </c>
    </row>
    <row r="571" spans="1:6" x14ac:dyDescent="0.25">
      <c r="A571" s="2">
        <v>43647</v>
      </c>
      <c r="B571" s="7">
        <v>24</v>
      </c>
      <c r="C571" s="1" t="s">
        <v>6</v>
      </c>
      <c r="D571" s="1" t="s">
        <v>12</v>
      </c>
      <c r="E571" s="1" t="s">
        <v>27</v>
      </c>
      <c r="F571" s="9">
        <f>DATE(YEAR(Table1[[#This Row],[Date]]), MONTH(Table1[[#This Row],[Date]]), 1)</f>
        <v>43647</v>
      </c>
    </row>
    <row r="572" spans="1:6" x14ac:dyDescent="0.25">
      <c r="A572" s="2">
        <v>43647</v>
      </c>
      <c r="B572" s="7">
        <v>13.09</v>
      </c>
      <c r="C572" s="1" t="s">
        <v>6</v>
      </c>
      <c r="D572" s="1" t="s">
        <v>39</v>
      </c>
      <c r="E572" s="1" t="s">
        <v>26</v>
      </c>
      <c r="F572" s="9">
        <f>DATE(YEAR(Table1[[#This Row],[Date]]), MONTH(Table1[[#This Row],[Date]]), 1)</f>
        <v>43647</v>
      </c>
    </row>
    <row r="573" spans="1:6" x14ac:dyDescent="0.25">
      <c r="A573" s="2">
        <v>43648</v>
      </c>
      <c r="B573" s="7">
        <v>229.9</v>
      </c>
      <c r="C573" s="1" t="s">
        <v>6</v>
      </c>
      <c r="D573" s="1" t="s">
        <v>16</v>
      </c>
      <c r="E573" s="1" t="s">
        <v>26</v>
      </c>
      <c r="F573" s="9">
        <f>DATE(YEAR(Table1[[#This Row],[Date]]), MONTH(Table1[[#This Row],[Date]]), 1)</f>
        <v>43647</v>
      </c>
    </row>
    <row r="574" spans="1:6" x14ac:dyDescent="0.25">
      <c r="A574" s="2">
        <v>43648</v>
      </c>
      <c r="B574" s="7">
        <v>1100</v>
      </c>
      <c r="C574" s="1" t="s">
        <v>6</v>
      </c>
      <c r="D574" s="1" t="s">
        <v>18</v>
      </c>
      <c r="E574" s="1" t="s">
        <v>32</v>
      </c>
      <c r="F574" s="9">
        <f>DATE(YEAR(Table1[[#This Row],[Date]]), MONTH(Table1[[#This Row],[Date]]), 1)</f>
        <v>43647</v>
      </c>
    </row>
    <row r="575" spans="1:6" x14ac:dyDescent="0.25">
      <c r="A575" s="2">
        <v>43650</v>
      </c>
      <c r="B575" s="7">
        <v>13.9</v>
      </c>
      <c r="C575" s="1" t="s">
        <v>6</v>
      </c>
      <c r="D575" s="1" t="s">
        <v>38</v>
      </c>
      <c r="E575" s="1" t="s">
        <v>26</v>
      </c>
      <c r="F575" s="9">
        <f>DATE(YEAR(Table1[[#This Row],[Date]]), MONTH(Table1[[#This Row],[Date]]), 1)</f>
        <v>43647</v>
      </c>
    </row>
    <row r="576" spans="1:6" x14ac:dyDescent="0.25">
      <c r="A576" s="2">
        <v>43651</v>
      </c>
      <c r="B576" s="7">
        <v>19</v>
      </c>
      <c r="C576" s="1" t="s">
        <v>6</v>
      </c>
      <c r="D576" s="1" t="s">
        <v>7</v>
      </c>
      <c r="E576" s="1" t="s">
        <v>27</v>
      </c>
      <c r="F576" s="9">
        <f>DATE(YEAR(Table1[[#This Row],[Date]]), MONTH(Table1[[#This Row],[Date]]), 1)</f>
        <v>43647</v>
      </c>
    </row>
    <row r="577" spans="1:6" x14ac:dyDescent="0.25">
      <c r="A577" s="2">
        <v>43651</v>
      </c>
      <c r="B577" s="7">
        <v>2250</v>
      </c>
      <c r="C577" s="1" t="s">
        <v>5</v>
      </c>
      <c r="D577" s="1" t="s">
        <v>21</v>
      </c>
      <c r="E577" s="1" t="s">
        <v>25</v>
      </c>
      <c r="F577" s="9">
        <f>DATE(YEAR(Table1[[#This Row],[Date]]), MONTH(Table1[[#This Row],[Date]]), 1)</f>
        <v>43647</v>
      </c>
    </row>
    <row r="578" spans="1:6" x14ac:dyDescent="0.25">
      <c r="A578" s="2">
        <v>43652</v>
      </c>
      <c r="B578" s="7">
        <v>92.98</v>
      </c>
      <c r="C578" s="1" t="s">
        <v>6</v>
      </c>
      <c r="D578" s="1" t="s">
        <v>14</v>
      </c>
      <c r="E578" s="1" t="s">
        <v>26</v>
      </c>
      <c r="F578" s="9">
        <f>DATE(YEAR(Table1[[#This Row],[Date]]), MONTH(Table1[[#This Row],[Date]]), 1)</f>
        <v>43647</v>
      </c>
    </row>
    <row r="579" spans="1:6" x14ac:dyDescent="0.25">
      <c r="A579" s="2">
        <v>43652</v>
      </c>
      <c r="B579" s="7">
        <v>23.26</v>
      </c>
      <c r="C579" s="1" t="s">
        <v>6</v>
      </c>
      <c r="D579" s="1" t="s">
        <v>12</v>
      </c>
      <c r="E579" s="1" t="s">
        <v>26</v>
      </c>
      <c r="F579" s="9">
        <f>DATE(YEAR(Table1[[#This Row],[Date]]), MONTH(Table1[[#This Row],[Date]]), 1)</f>
        <v>43647</v>
      </c>
    </row>
    <row r="580" spans="1:6" x14ac:dyDescent="0.25">
      <c r="A580" s="2">
        <v>43653</v>
      </c>
      <c r="B580" s="7">
        <v>103.14</v>
      </c>
      <c r="C580" s="1" t="s">
        <v>6</v>
      </c>
      <c r="D580" s="1" t="s">
        <v>16</v>
      </c>
      <c r="E580" s="1" t="s">
        <v>26</v>
      </c>
      <c r="F580" s="9">
        <f>DATE(YEAR(Table1[[#This Row],[Date]]), MONTH(Table1[[#This Row],[Date]]), 1)</f>
        <v>43647</v>
      </c>
    </row>
    <row r="581" spans="1:6" x14ac:dyDescent="0.25">
      <c r="A581" s="2">
        <v>43655</v>
      </c>
      <c r="B581" s="7">
        <v>10.69</v>
      </c>
      <c r="C581" s="1" t="s">
        <v>6</v>
      </c>
      <c r="D581" s="1" t="s">
        <v>20</v>
      </c>
      <c r="E581" s="1" t="s">
        <v>26</v>
      </c>
      <c r="F581" s="9">
        <f>DATE(YEAR(Table1[[#This Row],[Date]]), MONTH(Table1[[#This Row],[Date]]), 1)</f>
        <v>43647</v>
      </c>
    </row>
    <row r="582" spans="1:6" x14ac:dyDescent="0.25">
      <c r="A582" s="2">
        <v>43656</v>
      </c>
      <c r="B582" s="7">
        <v>65</v>
      </c>
      <c r="C582" s="1" t="s">
        <v>6</v>
      </c>
      <c r="D582" s="1" t="s">
        <v>17</v>
      </c>
      <c r="E582" s="1" t="s">
        <v>32</v>
      </c>
      <c r="F582" s="9">
        <f>DATE(YEAR(Table1[[#This Row],[Date]]), MONTH(Table1[[#This Row],[Date]]), 1)</f>
        <v>43647</v>
      </c>
    </row>
    <row r="583" spans="1:6" x14ac:dyDescent="0.25">
      <c r="A583" s="2">
        <v>43656</v>
      </c>
      <c r="B583" s="7">
        <v>30</v>
      </c>
      <c r="C583" s="1" t="s">
        <v>6</v>
      </c>
      <c r="D583" s="1" t="s">
        <v>22</v>
      </c>
      <c r="E583" s="1" t="s">
        <v>32</v>
      </c>
      <c r="F583" s="9">
        <f>DATE(YEAR(Table1[[#This Row],[Date]]), MONTH(Table1[[#This Row],[Date]]), 1)</f>
        <v>43647</v>
      </c>
    </row>
    <row r="584" spans="1:6" x14ac:dyDescent="0.25">
      <c r="A584" s="2">
        <v>43661</v>
      </c>
      <c r="B584" s="7">
        <v>87.14</v>
      </c>
      <c r="C584" s="1" t="s">
        <v>6</v>
      </c>
      <c r="D584" s="1" t="s">
        <v>14</v>
      </c>
      <c r="E584" s="1" t="s">
        <v>27</v>
      </c>
      <c r="F584" s="9">
        <f>DATE(YEAR(Table1[[#This Row],[Date]]), MONTH(Table1[[#This Row],[Date]]), 1)</f>
        <v>43647</v>
      </c>
    </row>
    <row r="585" spans="1:6" x14ac:dyDescent="0.25">
      <c r="A585" s="2">
        <v>43662</v>
      </c>
      <c r="B585" s="7">
        <v>89.99</v>
      </c>
      <c r="C585" s="1" t="s">
        <v>6</v>
      </c>
      <c r="D585" s="1" t="s">
        <v>39</v>
      </c>
      <c r="E585" s="1" t="s">
        <v>26</v>
      </c>
      <c r="F585" s="9">
        <f>DATE(YEAR(Table1[[#This Row],[Date]]), MONTH(Table1[[#This Row],[Date]]), 1)</f>
        <v>43647</v>
      </c>
    </row>
    <row r="586" spans="1:6" x14ac:dyDescent="0.25">
      <c r="A586" s="2">
        <v>43662</v>
      </c>
      <c r="B586" s="7">
        <v>60</v>
      </c>
      <c r="C586" s="1" t="s">
        <v>6</v>
      </c>
      <c r="D586" s="1" t="s">
        <v>22</v>
      </c>
      <c r="E586" s="1" t="s">
        <v>32</v>
      </c>
      <c r="F586" s="9">
        <f>DATE(YEAR(Table1[[#This Row],[Date]]), MONTH(Table1[[#This Row],[Date]]), 1)</f>
        <v>43647</v>
      </c>
    </row>
    <row r="587" spans="1:6" x14ac:dyDescent="0.25">
      <c r="A587" s="2">
        <v>43663</v>
      </c>
      <c r="B587" s="7">
        <v>35</v>
      </c>
      <c r="C587" s="1" t="s">
        <v>6</v>
      </c>
      <c r="D587" s="1" t="s">
        <v>22</v>
      </c>
      <c r="E587" s="1" t="s">
        <v>32</v>
      </c>
      <c r="F587" s="9">
        <f>DATE(YEAR(Table1[[#This Row],[Date]]), MONTH(Table1[[#This Row],[Date]]), 1)</f>
        <v>43647</v>
      </c>
    </row>
    <row r="588" spans="1:6" x14ac:dyDescent="0.25">
      <c r="A588" s="2">
        <v>43664</v>
      </c>
      <c r="B588" s="7">
        <v>75</v>
      </c>
      <c r="C588" s="1" t="s">
        <v>6</v>
      </c>
      <c r="D588" s="1" t="s">
        <v>8</v>
      </c>
      <c r="E588" s="1" t="s">
        <v>32</v>
      </c>
      <c r="F588" s="9">
        <f>DATE(YEAR(Table1[[#This Row],[Date]]), MONTH(Table1[[#This Row],[Date]]), 1)</f>
        <v>43647</v>
      </c>
    </row>
    <row r="589" spans="1:6" x14ac:dyDescent="0.25">
      <c r="A589" s="2">
        <v>43664</v>
      </c>
      <c r="B589" s="7">
        <v>36.42</v>
      </c>
      <c r="C589" s="1" t="s">
        <v>6</v>
      </c>
      <c r="D589" s="1" t="s">
        <v>13</v>
      </c>
      <c r="E589" s="1" t="s">
        <v>27</v>
      </c>
      <c r="F589" s="9">
        <f>DATE(YEAR(Table1[[#This Row],[Date]]), MONTH(Table1[[#This Row],[Date]]), 1)</f>
        <v>43647</v>
      </c>
    </row>
    <row r="590" spans="1:6" x14ac:dyDescent="0.25">
      <c r="A590" s="2">
        <v>43664</v>
      </c>
      <c r="B590" s="7">
        <v>29.83</v>
      </c>
      <c r="C590" s="1" t="s">
        <v>6</v>
      </c>
      <c r="D590" s="1" t="s">
        <v>14</v>
      </c>
      <c r="E590" s="1" t="s">
        <v>26</v>
      </c>
      <c r="F590" s="9">
        <f>DATE(YEAR(Table1[[#This Row],[Date]]), MONTH(Table1[[#This Row],[Date]]), 1)</f>
        <v>43647</v>
      </c>
    </row>
    <row r="591" spans="1:6" x14ac:dyDescent="0.25">
      <c r="A591" s="2">
        <v>43664</v>
      </c>
      <c r="B591" s="7">
        <v>8.82</v>
      </c>
      <c r="C591" s="1" t="s">
        <v>6</v>
      </c>
      <c r="D591" s="1" t="s">
        <v>12</v>
      </c>
      <c r="E591" s="1" t="s">
        <v>26</v>
      </c>
      <c r="F591" s="9">
        <f>DATE(YEAR(Table1[[#This Row],[Date]]), MONTH(Table1[[#This Row],[Date]]), 1)</f>
        <v>43647</v>
      </c>
    </row>
    <row r="592" spans="1:6" x14ac:dyDescent="0.25">
      <c r="A592" s="2">
        <v>43665</v>
      </c>
      <c r="B592" s="7">
        <v>2250</v>
      </c>
      <c r="C592" s="1" t="s">
        <v>5</v>
      </c>
      <c r="D592" s="1" t="s">
        <v>21</v>
      </c>
      <c r="E592" s="1" t="s">
        <v>25</v>
      </c>
      <c r="F592" s="9">
        <f>DATE(YEAR(Table1[[#This Row],[Date]]), MONTH(Table1[[#This Row],[Date]]), 1)</f>
        <v>43647</v>
      </c>
    </row>
    <row r="593" spans="1:6" x14ac:dyDescent="0.25">
      <c r="A593" s="2">
        <v>43665</v>
      </c>
      <c r="B593" s="7">
        <v>28</v>
      </c>
      <c r="C593" s="1" t="s">
        <v>6</v>
      </c>
      <c r="D593" s="1" t="s">
        <v>12</v>
      </c>
      <c r="E593" s="1" t="s">
        <v>26</v>
      </c>
      <c r="F593" s="9">
        <f>DATE(YEAR(Table1[[#This Row],[Date]]), MONTH(Table1[[#This Row],[Date]]), 1)</f>
        <v>43647</v>
      </c>
    </row>
    <row r="594" spans="1:6" x14ac:dyDescent="0.25">
      <c r="A594" s="2">
        <v>43668</v>
      </c>
      <c r="B594" s="7">
        <v>26.67</v>
      </c>
      <c r="C594" s="1" t="s">
        <v>6</v>
      </c>
      <c r="D594" s="1" t="s">
        <v>12</v>
      </c>
      <c r="E594" s="1" t="s">
        <v>27</v>
      </c>
      <c r="F594" s="9">
        <f>DATE(YEAR(Table1[[#This Row],[Date]]), MONTH(Table1[[#This Row],[Date]]), 1)</f>
        <v>43647</v>
      </c>
    </row>
    <row r="595" spans="1:6" x14ac:dyDescent="0.25">
      <c r="A595" s="2">
        <v>43670</v>
      </c>
      <c r="B595" s="7">
        <v>2.5</v>
      </c>
      <c r="C595" s="1" t="s">
        <v>6</v>
      </c>
      <c r="D595" s="1" t="s">
        <v>9</v>
      </c>
      <c r="E595" s="1" t="s">
        <v>27</v>
      </c>
      <c r="F595" s="9">
        <f>DATE(YEAR(Table1[[#This Row],[Date]]), MONTH(Table1[[#This Row],[Date]]), 1)</f>
        <v>43647</v>
      </c>
    </row>
    <row r="596" spans="1:6" x14ac:dyDescent="0.25">
      <c r="A596" s="2">
        <v>43673</v>
      </c>
      <c r="B596" s="7">
        <v>30</v>
      </c>
      <c r="C596" s="1" t="s">
        <v>6</v>
      </c>
      <c r="D596" s="1" t="s">
        <v>15</v>
      </c>
      <c r="E596" s="1" t="s">
        <v>27</v>
      </c>
      <c r="F596" s="9">
        <f>DATE(YEAR(Table1[[#This Row],[Date]]), MONTH(Table1[[#This Row],[Date]]), 1)</f>
        <v>43647</v>
      </c>
    </row>
    <row r="597" spans="1:6" x14ac:dyDescent="0.25">
      <c r="A597" s="2">
        <v>43674</v>
      </c>
      <c r="B597" s="7">
        <v>44.31</v>
      </c>
      <c r="C597" s="1" t="s">
        <v>6</v>
      </c>
      <c r="D597" s="1" t="s">
        <v>16</v>
      </c>
      <c r="E597" s="1" t="s">
        <v>26</v>
      </c>
      <c r="F597" s="9">
        <f>DATE(YEAR(Table1[[#This Row],[Date]]), MONTH(Table1[[#This Row],[Date]]), 1)</f>
        <v>43647</v>
      </c>
    </row>
    <row r="598" spans="1:6" x14ac:dyDescent="0.25">
      <c r="A598" s="2">
        <v>43675</v>
      </c>
      <c r="B598" s="7">
        <v>5.35</v>
      </c>
      <c r="C598" s="1" t="s">
        <v>6</v>
      </c>
      <c r="D598" s="1" t="s">
        <v>14</v>
      </c>
      <c r="E598" s="1" t="s">
        <v>26</v>
      </c>
      <c r="F598" s="9">
        <f>DATE(YEAR(Table1[[#This Row],[Date]]), MONTH(Table1[[#This Row],[Date]]), 1)</f>
        <v>43647</v>
      </c>
    </row>
    <row r="599" spans="1:6" x14ac:dyDescent="0.25">
      <c r="A599" s="2">
        <v>43675</v>
      </c>
      <c r="B599" s="7">
        <v>44.92</v>
      </c>
      <c r="C599" s="1" t="s">
        <v>6</v>
      </c>
      <c r="D599" s="1" t="s">
        <v>12</v>
      </c>
      <c r="E599" s="1" t="s">
        <v>27</v>
      </c>
      <c r="F599" s="9">
        <f>DATE(YEAR(Table1[[#This Row],[Date]]), MONTH(Table1[[#This Row],[Date]]), 1)</f>
        <v>43647</v>
      </c>
    </row>
    <row r="600" spans="1:6" x14ac:dyDescent="0.25">
      <c r="A600" s="2">
        <v>43676</v>
      </c>
      <c r="B600" s="7">
        <v>15.77</v>
      </c>
      <c r="C600" s="1" t="s">
        <v>6</v>
      </c>
      <c r="D600" s="1" t="s">
        <v>14</v>
      </c>
      <c r="E600" s="1" t="s">
        <v>26</v>
      </c>
      <c r="F600" s="9">
        <f>DATE(YEAR(Table1[[#This Row],[Date]]), MONTH(Table1[[#This Row],[Date]]), 1)</f>
        <v>43647</v>
      </c>
    </row>
    <row r="601" spans="1:6" x14ac:dyDescent="0.25">
      <c r="A601" s="2">
        <v>43676</v>
      </c>
      <c r="B601" s="7">
        <v>75</v>
      </c>
      <c r="C601" s="1" t="s">
        <v>6</v>
      </c>
      <c r="D601" s="1" t="s">
        <v>2</v>
      </c>
      <c r="E601" s="1" t="s">
        <v>32</v>
      </c>
      <c r="F601" s="9">
        <f>DATE(YEAR(Table1[[#This Row],[Date]]), MONTH(Table1[[#This Row],[Date]]), 1)</f>
        <v>43647</v>
      </c>
    </row>
    <row r="602" spans="1:6" x14ac:dyDescent="0.25">
      <c r="A602" s="2">
        <v>43678</v>
      </c>
      <c r="B602" s="7">
        <v>13.09</v>
      </c>
      <c r="C602" s="1" t="s">
        <v>6</v>
      </c>
      <c r="D602" s="1" t="s">
        <v>39</v>
      </c>
      <c r="E602" s="1" t="s">
        <v>26</v>
      </c>
      <c r="F602" s="9">
        <f>DATE(YEAR(Table1[[#This Row],[Date]]), MONTH(Table1[[#This Row],[Date]]), 1)</f>
        <v>43678</v>
      </c>
    </row>
    <row r="603" spans="1:6" x14ac:dyDescent="0.25">
      <c r="A603" s="2">
        <v>43679</v>
      </c>
      <c r="B603" s="7">
        <v>1100</v>
      </c>
      <c r="C603" s="1" t="s">
        <v>6</v>
      </c>
      <c r="D603" s="1" t="s">
        <v>18</v>
      </c>
      <c r="E603" s="1" t="s">
        <v>32</v>
      </c>
      <c r="F603" s="9">
        <f>DATE(YEAR(Table1[[#This Row],[Date]]), MONTH(Table1[[#This Row],[Date]]), 1)</f>
        <v>43678</v>
      </c>
    </row>
    <row r="604" spans="1:6" x14ac:dyDescent="0.25">
      <c r="A604" s="2">
        <v>43679</v>
      </c>
      <c r="B604" s="7">
        <v>2250</v>
      </c>
      <c r="C604" s="1" t="s">
        <v>5</v>
      </c>
      <c r="D604" s="1" t="s">
        <v>21</v>
      </c>
      <c r="E604" s="1" t="s">
        <v>25</v>
      </c>
      <c r="F604" s="9">
        <f>DATE(YEAR(Table1[[#This Row],[Date]]), MONTH(Table1[[#This Row],[Date]]), 1)</f>
        <v>43678</v>
      </c>
    </row>
    <row r="605" spans="1:6" x14ac:dyDescent="0.25">
      <c r="A605" s="2">
        <v>43680</v>
      </c>
      <c r="B605" s="7">
        <v>36.36</v>
      </c>
      <c r="C605" s="1" t="s">
        <v>6</v>
      </c>
      <c r="D605" s="1" t="s">
        <v>13</v>
      </c>
      <c r="E605" s="1" t="s">
        <v>26</v>
      </c>
      <c r="F605" s="9">
        <f>DATE(YEAR(Table1[[#This Row],[Date]]), MONTH(Table1[[#This Row],[Date]]), 1)</f>
        <v>43678</v>
      </c>
    </row>
    <row r="606" spans="1:6" x14ac:dyDescent="0.25">
      <c r="A606" s="2">
        <v>43680</v>
      </c>
      <c r="B606" s="7">
        <v>3.96</v>
      </c>
      <c r="C606" s="1" t="s">
        <v>6</v>
      </c>
      <c r="D606" s="1" t="s">
        <v>14</v>
      </c>
      <c r="E606" s="1" t="s">
        <v>26</v>
      </c>
      <c r="F606" s="9">
        <f>DATE(YEAR(Table1[[#This Row],[Date]]), MONTH(Table1[[#This Row],[Date]]), 1)</f>
        <v>43678</v>
      </c>
    </row>
    <row r="607" spans="1:6" x14ac:dyDescent="0.25">
      <c r="A607" s="2">
        <v>43680</v>
      </c>
      <c r="B607" s="7">
        <v>23.47</v>
      </c>
      <c r="C607" s="1" t="s">
        <v>6</v>
      </c>
      <c r="D607" s="1" t="s">
        <v>12</v>
      </c>
      <c r="E607" s="1" t="s">
        <v>26</v>
      </c>
      <c r="F607" s="9">
        <f>DATE(YEAR(Table1[[#This Row],[Date]]), MONTH(Table1[[#This Row],[Date]]), 1)</f>
        <v>43678</v>
      </c>
    </row>
    <row r="608" spans="1:6" x14ac:dyDescent="0.25">
      <c r="A608" s="2">
        <v>43681</v>
      </c>
      <c r="B608" s="7">
        <v>13.9</v>
      </c>
      <c r="C608" s="1" t="s">
        <v>6</v>
      </c>
      <c r="D608" s="1" t="s">
        <v>38</v>
      </c>
      <c r="E608" s="1" t="s">
        <v>26</v>
      </c>
      <c r="F608" s="9">
        <f>DATE(YEAR(Table1[[#This Row],[Date]]), MONTH(Table1[[#This Row],[Date]]), 1)</f>
        <v>43678</v>
      </c>
    </row>
    <row r="609" spans="1:6" x14ac:dyDescent="0.25">
      <c r="A609" s="2">
        <v>43682</v>
      </c>
      <c r="B609" s="7">
        <v>18</v>
      </c>
      <c r="C609" s="1" t="s">
        <v>6</v>
      </c>
      <c r="D609" s="1" t="s">
        <v>7</v>
      </c>
      <c r="E609" s="1" t="s">
        <v>27</v>
      </c>
      <c r="F609" s="9">
        <f>DATE(YEAR(Table1[[#This Row],[Date]]), MONTH(Table1[[#This Row],[Date]]), 1)</f>
        <v>43678</v>
      </c>
    </row>
    <row r="610" spans="1:6" x14ac:dyDescent="0.25">
      <c r="A610" s="2">
        <v>43683</v>
      </c>
      <c r="B610" s="7">
        <v>125</v>
      </c>
      <c r="C610" s="1" t="s">
        <v>6</v>
      </c>
      <c r="D610" s="1" t="s">
        <v>16</v>
      </c>
      <c r="E610" s="1" t="s">
        <v>32</v>
      </c>
      <c r="F610" s="9">
        <f>DATE(YEAR(Table1[[#This Row],[Date]]), MONTH(Table1[[#This Row],[Date]]), 1)</f>
        <v>43678</v>
      </c>
    </row>
    <row r="611" spans="1:6" x14ac:dyDescent="0.25">
      <c r="A611" s="2">
        <v>43685</v>
      </c>
      <c r="B611" s="7">
        <v>11.72</v>
      </c>
      <c r="C611" s="1" t="s">
        <v>6</v>
      </c>
      <c r="D611" s="1" t="s">
        <v>14</v>
      </c>
      <c r="E611" s="1" t="s">
        <v>27</v>
      </c>
      <c r="F611" s="9">
        <f>DATE(YEAR(Table1[[#This Row],[Date]]), MONTH(Table1[[#This Row],[Date]]), 1)</f>
        <v>43678</v>
      </c>
    </row>
    <row r="612" spans="1:6" x14ac:dyDescent="0.25">
      <c r="A612" s="2">
        <v>43686</v>
      </c>
      <c r="B612" s="7">
        <v>10.69</v>
      </c>
      <c r="C612" s="1" t="s">
        <v>6</v>
      </c>
      <c r="D612" s="1" t="s">
        <v>20</v>
      </c>
      <c r="E612" s="1" t="s">
        <v>26</v>
      </c>
      <c r="F612" s="9">
        <f>DATE(YEAR(Table1[[#This Row],[Date]]), MONTH(Table1[[#This Row],[Date]]), 1)</f>
        <v>43678</v>
      </c>
    </row>
    <row r="613" spans="1:6" x14ac:dyDescent="0.25">
      <c r="A613" s="2">
        <v>43686</v>
      </c>
      <c r="B613" s="7">
        <v>30</v>
      </c>
      <c r="C613" s="1" t="s">
        <v>6</v>
      </c>
      <c r="D613" s="1" t="s">
        <v>22</v>
      </c>
      <c r="E613" s="1" t="s">
        <v>32</v>
      </c>
      <c r="F613" s="9">
        <f>DATE(YEAR(Table1[[#This Row],[Date]]), MONTH(Table1[[#This Row],[Date]]), 1)</f>
        <v>43678</v>
      </c>
    </row>
    <row r="614" spans="1:6" x14ac:dyDescent="0.25">
      <c r="A614" s="2">
        <v>43689</v>
      </c>
      <c r="B614" s="7">
        <v>65</v>
      </c>
      <c r="C614" s="1" t="s">
        <v>6</v>
      </c>
      <c r="D614" s="1" t="s">
        <v>17</v>
      </c>
      <c r="E614" s="1" t="s">
        <v>32</v>
      </c>
      <c r="F614" s="9">
        <f>DATE(YEAR(Table1[[#This Row],[Date]]), MONTH(Table1[[#This Row],[Date]]), 1)</f>
        <v>43678</v>
      </c>
    </row>
    <row r="615" spans="1:6" x14ac:dyDescent="0.25">
      <c r="A615" s="2">
        <v>43689</v>
      </c>
      <c r="B615" s="7">
        <v>26.67</v>
      </c>
      <c r="C615" s="1" t="s">
        <v>6</v>
      </c>
      <c r="D615" s="1" t="s">
        <v>12</v>
      </c>
      <c r="E615" s="1" t="s">
        <v>27</v>
      </c>
      <c r="F615" s="9">
        <f>DATE(YEAR(Table1[[#This Row],[Date]]), MONTH(Table1[[#This Row],[Date]]), 1)</f>
        <v>43678</v>
      </c>
    </row>
    <row r="616" spans="1:6" x14ac:dyDescent="0.25">
      <c r="A616" s="2">
        <v>43691</v>
      </c>
      <c r="B616" s="7">
        <v>2.75</v>
      </c>
      <c r="C616" s="1" t="s">
        <v>6</v>
      </c>
      <c r="D616" s="1" t="s">
        <v>9</v>
      </c>
      <c r="E616" s="1" t="s">
        <v>26</v>
      </c>
      <c r="F616" s="9">
        <f>DATE(YEAR(Table1[[#This Row],[Date]]), MONTH(Table1[[#This Row],[Date]]), 1)</f>
        <v>43678</v>
      </c>
    </row>
    <row r="617" spans="1:6" x14ac:dyDescent="0.25">
      <c r="A617" s="2">
        <v>43692</v>
      </c>
      <c r="B617" s="7">
        <v>60</v>
      </c>
      <c r="C617" s="1" t="s">
        <v>6</v>
      </c>
      <c r="D617" s="1" t="s">
        <v>22</v>
      </c>
      <c r="E617" s="1" t="s">
        <v>32</v>
      </c>
      <c r="F617" s="9">
        <f>DATE(YEAR(Table1[[#This Row],[Date]]), MONTH(Table1[[#This Row],[Date]]), 1)</f>
        <v>43678</v>
      </c>
    </row>
    <row r="618" spans="1:6" x14ac:dyDescent="0.25">
      <c r="A618" s="2">
        <v>43693</v>
      </c>
      <c r="B618" s="7">
        <v>2250</v>
      </c>
      <c r="C618" s="1" t="s">
        <v>5</v>
      </c>
      <c r="D618" s="1" t="s">
        <v>21</v>
      </c>
      <c r="E618" s="1" t="s">
        <v>25</v>
      </c>
      <c r="F618" s="9">
        <f>DATE(YEAR(Table1[[#This Row],[Date]]), MONTH(Table1[[#This Row],[Date]]), 1)</f>
        <v>43678</v>
      </c>
    </row>
    <row r="619" spans="1:6" x14ac:dyDescent="0.25">
      <c r="A619" s="2">
        <v>43693</v>
      </c>
      <c r="B619" s="7">
        <v>35</v>
      </c>
      <c r="C619" s="1" t="s">
        <v>6</v>
      </c>
      <c r="D619" s="1" t="s">
        <v>22</v>
      </c>
      <c r="E619" s="1" t="s">
        <v>32</v>
      </c>
      <c r="F619" s="9">
        <f>DATE(YEAR(Table1[[#This Row],[Date]]), MONTH(Table1[[#This Row],[Date]]), 1)</f>
        <v>43678</v>
      </c>
    </row>
    <row r="620" spans="1:6" x14ac:dyDescent="0.25">
      <c r="A620" s="2">
        <v>43694</v>
      </c>
      <c r="B620" s="7">
        <v>33.15</v>
      </c>
      <c r="C620" s="1" t="s">
        <v>6</v>
      </c>
      <c r="D620" s="1" t="s">
        <v>14</v>
      </c>
      <c r="E620" s="1" t="s">
        <v>26</v>
      </c>
      <c r="F620" s="9">
        <f>DATE(YEAR(Table1[[#This Row],[Date]]), MONTH(Table1[[#This Row],[Date]]), 1)</f>
        <v>43678</v>
      </c>
    </row>
    <row r="621" spans="1:6" x14ac:dyDescent="0.25">
      <c r="A621" s="2">
        <v>43694</v>
      </c>
      <c r="B621" s="7">
        <v>19</v>
      </c>
      <c r="C621" s="1" t="s">
        <v>6</v>
      </c>
      <c r="D621" s="1" t="s">
        <v>15</v>
      </c>
      <c r="E621" s="1" t="s">
        <v>26</v>
      </c>
      <c r="F621" s="9">
        <f>DATE(YEAR(Table1[[#This Row],[Date]]), MONTH(Table1[[#This Row],[Date]]), 1)</f>
        <v>43678</v>
      </c>
    </row>
    <row r="622" spans="1:6" x14ac:dyDescent="0.25">
      <c r="A622" s="2">
        <v>43694</v>
      </c>
      <c r="B622" s="7">
        <v>3.5</v>
      </c>
      <c r="C622" s="1" t="s">
        <v>6</v>
      </c>
      <c r="D622" s="1" t="s">
        <v>12</v>
      </c>
      <c r="E622" s="1" t="s">
        <v>26</v>
      </c>
      <c r="F622" s="9">
        <f>DATE(YEAR(Table1[[#This Row],[Date]]), MONTH(Table1[[#This Row],[Date]]), 1)</f>
        <v>43678</v>
      </c>
    </row>
    <row r="623" spans="1:6" x14ac:dyDescent="0.25">
      <c r="A623" s="2">
        <v>43697</v>
      </c>
      <c r="B623" s="7">
        <v>75</v>
      </c>
      <c r="C623" s="1" t="s">
        <v>6</v>
      </c>
      <c r="D623" s="1" t="s">
        <v>8</v>
      </c>
      <c r="E623" s="1" t="s">
        <v>32</v>
      </c>
      <c r="F623" s="9">
        <f>DATE(YEAR(Table1[[#This Row],[Date]]), MONTH(Table1[[#This Row],[Date]]), 1)</f>
        <v>43678</v>
      </c>
    </row>
    <row r="624" spans="1:6" x14ac:dyDescent="0.25">
      <c r="A624" s="2">
        <v>43697</v>
      </c>
      <c r="B624" s="7">
        <v>2.75</v>
      </c>
      <c r="C624" s="1" t="s">
        <v>6</v>
      </c>
      <c r="D624" s="1" t="s">
        <v>9</v>
      </c>
      <c r="E624" s="1" t="s">
        <v>26</v>
      </c>
      <c r="F624" s="9">
        <f>DATE(YEAR(Table1[[#This Row],[Date]]), MONTH(Table1[[#This Row],[Date]]), 1)</f>
        <v>43678</v>
      </c>
    </row>
    <row r="625" spans="1:6" x14ac:dyDescent="0.25">
      <c r="A625" s="2">
        <v>43698</v>
      </c>
      <c r="B625" s="7">
        <v>34.69</v>
      </c>
      <c r="C625" s="1" t="s">
        <v>6</v>
      </c>
      <c r="D625" s="1" t="s">
        <v>13</v>
      </c>
      <c r="E625" s="1" t="s">
        <v>26</v>
      </c>
      <c r="F625" s="9">
        <f>DATE(YEAR(Table1[[#This Row],[Date]]), MONTH(Table1[[#This Row],[Date]]), 1)</f>
        <v>43678</v>
      </c>
    </row>
    <row r="626" spans="1:6" x14ac:dyDescent="0.25">
      <c r="A626" s="2">
        <v>43700</v>
      </c>
      <c r="B626" s="7">
        <v>2.75</v>
      </c>
      <c r="C626" s="1" t="s">
        <v>6</v>
      </c>
      <c r="D626" s="1" t="s">
        <v>9</v>
      </c>
      <c r="E626" s="1" t="s">
        <v>26</v>
      </c>
      <c r="F626" s="9">
        <f>DATE(YEAR(Table1[[#This Row],[Date]]), MONTH(Table1[[#This Row],[Date]]), 1)</f>
        <v>43678</v>
      </c>
    </row>
    <row r="627" spans="1:6" x14ac:dyDescent="0.25">
      <c r="A627" s="2">
        <v>43702</v>
      </c>
      <c r="B627" s="7">
        <v>39.43</v>
      </c>
      <c r="C627" s="1" t="s">
        <v>6</v>
      </c>
      <c r="D627" s="1" t="s">
        <v>12</v>
      </c>
      <c r="E627" s="1" t="s">
        <v>26</v>
      </c>
      <c r="F627" s="9">
        <f>DATE(YEAR(Table1[[#This Row],[Date]]), MONTH(Table1[[#This Row],[Date]]), 1)</f>
        <v>43678</v>
      </c>
    </row>
    <row r="628" spans="1:6" x14ac:dyDescent="0.25">
      <c r="A628" s="2">
        <v>43703</v>
      </c>
      <c r="B628" s="7">
        <v>66.75</v>
      </c>
      <c r="C628" s="1" t="s">
        <v>6</v>
      </c>
      <c r="D628" s="1" t="s">
        <v>16</v>
      </c>
      <c r="E628" s="1" t="s">
        <v>27</v>
      </c>
      <c r="F628" s="9">
        <f>DATE(YEAR(Table1[[#This Row],[Date]]), MONTH(Table1[[#This Row],[Date]]), 1)</f>
        <v>43678</v>
      </c>
    </row>
    <row r="629" spans="1:6" x14ac:dyDescent="0.25">
      <c r="A629" s="2">
        <v>43706</v>
      </c>
      <c r="B629" s="7">
        <v>3</v>
      </c>
      <c r="C629" s="1" t="s">
        <v>6</v>
      </c>
      <c r="D629" s="1" t="s">
        <v>9</v>
      </c>
      <c r="E629" s="1" t="s">
        <v>26</v>
      </c>
      <c r="F629" s="9">
        <f>DATE(YEAR(Table1[[#This Row],[Date]]), MONTH(Table1[[#This Row],[Date]]), 1)</f>
        <v>43678</v>
      </c>
    </row>
    <row r="630" spans="1:6" x14ac:dyDescent="0.25">
      <c r="A630" s="2">
        <v>43707</v>
      </c>
      <c r="B630" s="7">
        <v>2.75</v>
      </c>
      <c r="C630" s="1" t="s">
        <v>6</v>
      </c>
      <c r="D630" s="1" t="s">
        <v>9</v>
      </c>
      <c r="E630" s="1" t="s">
        <v>26</v>
      </c>
      <c r="F630" s="9">
        <f>DATE(YEAR(Table1[[#This Row],[Date]]), MONTH(Table1[[#This Row],[Date]]), 1)</f>
        <v>43678</v>
      </c>
    </row>
    <row r="631" spans="1:6" x14ac:dyDescent="0.25">
      <c r="A631" s="2">
        <v>43707</v>
      </c>
      <c r="B631" s="7">
        <v>75</v>
      </c>
      <c r="C631" s="1" t="s">
        <v>6</v>
      </c>
      <c r="D631" s="1" t="s">
        <v>2</v>
      </c>
      <c r="E631" s="1" t="s">
        <v>32</v>
      </c>
      <c r="F631" s="9">
        <f>DATE(YEAR(Table1[[#This Row],[Date]]), MONTH(Table1[[#This Row],[Date]]), 1)</f>
        <v>43678</v>
      </c>
    </row>
    <row r="632" spans="1:6" x14ac:dyDescent="0.25">
      <c r="A632" s="2">
        <v>43707</v>
      </c>
      <c r="B632" s="7">
        <v>2250</v>
      </c>
      <c r="C632" s="1" t="s">
        <v>5</v>
      </c>
      <c r="D632" s="1" t="s">
        <v>21</v>
      </c>
      <c r="E632" s="1" t="s">
        <v>25</v>
      </c>
      <c r="F632" s="9">
        <f>DATE(YEAR(Table1[[#This Row],[Date]]), MONTH(Table1[[#This Row],[Date]]), 1)</f>
        <v>43678</v>
      </c>
    </row>
    <row r="633" spans="1:6" x14ac:dyDescent="0.25">
      <c r="A633" s="2">
        <v>43708</v>
      </c>
      <c r="B633" s="7">
        <v>68.040000000000006</v>
      </c>
      <c r="C633" s="1" t="s">
        <v>6</v>
      </c>
      <c r="D633" s="1" t="s">
        <v>16</v>
      </c>
      <c r="E633" s="1" t="s">
        <v>26</v>
      </c>
      <c r="F633" s="9">
        <f>DATE(YEAR(Table1[[#This Row],[Date]]), MONTH(Table1[[#This Row],[Date]]), 1)</f>
        <v>43678</v>
      </c>
    </row>
    <row r="634" spans="1:6" x14ac:dyDescent="0.25">
      <c r="A634" s="2">
        <v>43708</v>
      </c>
      <c r="B634" s="7">
        <v>41.78</v>
      </c>
      <c r="C634" s="1" t="s">
        <v>6</v>
      </c>
      <c r="D634" s="1" t="s">
        <v>12</v>
      </c>
      <c r="E634" s="1" t="s">
        <v>27</v>
      </c>
      <c r="F634" s="9">
        <f>DATE(YEAR(Table1[[#This Row],[Date]]), MONTH(Table1[[#This Row],[Date]]), 1)</f>
        <v>43678</v>
      </c>
    </row>
    <row r="635" spans="1:6" x14ac:dyDescent="0.25">
      <c r="A635" s="2">
        <v>43709</v>
      </c>
      <c r="B635" s="7">
        <v>13.09</v>
      </c>
      <c r="C635" s="1" t="s">
        <v>6</v>
      </c>
      <c r="D635" s="1" t="s">
        <v>39</v>
      </c>
      <c r="E635" s="1" t="s">
        <v>26</v>
      </c>
      <c r="F635" s="9">
        <f>DATE(YEAR(Table1[[#This Row],[Date]]), MONTH(Table1[[#This Row],[Date]]), 1)</f>
        <v>43709</v>
      </c>
    </row>
    <row r="636" spans="1:6" x14ac:dyDescent="0.25">
      <c r="A636" s="2">
        <v>43711</v>
      </c>
      <c r="B636" s="7">
        <v>1100</v>
      </c>
      <c r="C636" s="1" t="s">
        <v>6</v>
      </c>
      <c r="D636" s="1" t="s">
        <v>18</v>
      </c>
      <c r="E636" s="1" t="s">
        <v>32</v>
      </c>
      <c r="F636" s="9">
        <f>DATE(YEAR(Table1[[#This Row],[Date]]), MONTH(Table1[[#This Row],[Date]]), 1)</f>
        <v>43709</v>
      </c>
    </row>
    <row r="637" spans="1:6" x14ac:dyDescent="0.25">
      <c r="A637" s="2">
        <v>43711</v>
      </c>
      <c r="B637" s="7">
        <v>41.24</v>
      </c>
      <c r="C637" s="1" t="s">
        <v>6</v>
      </c>
      <c r="D637" s="1" t="s">
        <v>12</v>
      </c>
      <c r="E637" s="1" t="s">
        <v>27</v>
      </c>
      <c r="F637" s="9">
        <f>DATE(YEAR(Table1[[#This Row],[Date]]), MONTH(Table1[[#This Row],[Date]]), 1)</f>
        <v>43709</v>
      </c>
    </row>
    <row r="638" spans="1:6" x14ac:dyDescent="0.25">
      <c r="A638" s="2">
        <v>43712</v>
      </c>
      <c r="B638" s="7">
        <v>13.9</v>
      </c>
      <c r="C638" s="1" t="s">
        <v>6</v>
      </c>
      <c r="D638" s="1" t="s">
        <v>38</v>
      </c>
      <c r="E638" s="1" t="s">
        <v>26</v>
      </c>
      <c r="F638" s="9">
        <f>DATE(YEAR(Table1[[#This Row],[Date]]), MONTH(Table1[[#This Row],[Date]]), 1)</f>
        <v>43709</v>
      </c>
    </row>
    <row r="639" spans="1:6" x14ac:dyDescent="0.25">
      <c r="A639" s="2">
        <v>43713</v>
      </c>
      <c r="B639" s="7">
        <v>3.75</v>
      </c>
      <c r="C639" s="1" t="s">
        <v>6</v>
      </c>
      <c r="D639" s="1" t="s">
        <v>9</v>
      </c>
      <c r="E639" s="1" t="s">
        <v>26</v>
      </c>
      <c r="F639" s="9">
        <f>DATE(YEAR(Table1[[#This Row],[Date]]), MONTH(Table1[[#This Row],[Date]]), 1)</f>
        <v>43709</v>
      </c>
    </row>
    <row r="640" spans="1:6" x14ac:dyDescent="0.25">
      <c r="A640" s="2">
        <v>43715</v>
      </c>
      <c r="B640" s="7">
        <v>12.87</v>
      </c>
      <c r="C640" s="1" t="s">
        <v>6</v>
      </c>
      <c r="D640" s="1" t="s">
        <v>7</v>
      </c>
      <c r="E640" s="1" t="s">
        <v>26</v>
      </c>
      <c r="F640" s="9">
        <f>DATE(YEAR(Table1[[#This Row],[Date]]), MONTH(Table1[[#This Row],[Date]]), 1)</f>
        <v>43709</v>
      </c>
    </row>
    <row r="641" spans="1:6" x14ac:dyDescent="0.25">
      <c r="A641" s="2">
        <v>43716</v>
      </c>
      <c r="B641" s="7">
        <v>19.3</v>
      </c>
      <c r="C641" s="1" t="s">
        <v>6</v>
      </c>
      <c r="D641" s="1" t="s">
        <v>7</v>
      </c>
      <c r="E641" s="1" t="s">
        <v>26</v>
      </c>
      <c r="F641" s="9">
        <f>DATE(YEAR(Table1[[#This Row],[Date]]), MONTH(Table1[[#This Row],[Date]]), 1)</f>
        <v>43709</v>
      </c>
    </row>
    <row r="642" spans="1:6" x14ac:dyDescent="0.25">
      <c r="A642" s="2">
        <v>43717</v>
      </c>
      <c r="B642" s="7">
        <v>28.77</v>
      </c>
      <c r="C642" s="1" t="s">
        <v>6</v>
      </c>
      <c r="D642" s="1" t="s">
        <v>13</v>
      </c>
      <c r="E642" s="1" t="s">
        <v>26</v>
      </c>
      <c r="F642" s="9">
        <f>DATE(YEAR(Table1[[#This Row],[Date]]), MONTH(Table1[[#This Row],[Date]]), 1)</f>
        <v>43709</v>
      </c>
    </row>
    <row r="643" spans="1:6" x14ac:dyDescent="0.25">
      <c r="A643" s="2">
        <v>43717</v>
      </c>
      <c r="B643" s="7">
        <v>65.09</v>
      </c>
      <c r="C643" s="1" t="s">
        <v>6</v>
      </c>
      <c r="D643" s="1" t="s">
        <v>14</v>
      </c>
      <c r="E643" s="1" t="s">
        <v>27</v>
      </c>
      <c r="F643" s="9">
        <f>DATE(YEAR(Table1[[#This Row],[Date]]), MONTH(Table1[[#This Row],[Date]]), 1)</f>
        <v>43709</v>
      </c>
    </row>
    <row r="644" spans="1:6" x14ac:dyDescent="0.25">
      <c r="A644" s="2">
        <v>43717</v>
      </c>
      <c r="B644" s="7">
        <v>26.25</v>
      </c>
      <c r="C644" s="1" t="s">
        <v>6</v>
      </c>
      <c r="D644" s="1" t="s">
        <v>16</v>
      </c>
      <c r="E644" s="1" t="s">
        <v>27</v>
      </c>
      <c r="F644" s="9">
        <f>DATE(YEAR(Table1[[#This Row],[Date]]), MONTH(Table1[[#This Row],[Date]]), 1)</f>
        <v>43709</v>
      </c>
    </row>
    <row r="645" spans="1:6" x14ac:dyDescent="0.25">
      <c r="A645" s="2">
        <v>43717</v>
      </c>
      <c r="B645" s="7">
        <v>10.69</v>
      </c>
      <c r="C645" s="1" t="s">
        <v>6</v>
      </c>
      <c r="D645" s="1" t="s">
        <v>20</v>
      </c>
      <c r="E645" s="1" t="s">
        <v>26</v>
      </c>
      <c r="F645" s="9">
        <f>DATE(YEAR(Table1[[#This Row],[Date]]), MONTH(Table1[[#This Row],[Date]]), 1)</f>
        <v>43709</v>
      </c>
    </row>
    <row r="646" spans="1:6" x14ac:dyDescent="0.25">
      <c r="A646" s="2">
        <v>43717</v>
      </c>
      <c r="B646" s="7">
        <v>30</v>
      </c>
      <c r="C646" s="1" t="s">
        <v>6</v>
      </c>
      <c r="D646" s="1" t="s">
        <v>22</v>
      </c>
      <c r="E646" s="1" t="s">
        <v>32</v>
      </c>
      <c r="F646" s="9">
        <f>DATE(YEAR(Table1[[#This Row],[Date]]), MONTH(Table1[[#This Row],[Date]]), 1)</f>
        <v>43709</v>
      </c>
    </row>
    <row r="647" spans="1:6" x14ac:dyDescent="0.25">
      <c r="A647" s="2">
        <v>43719</v>
      </c>
      <c r="B647" s="7">
        <v>65</v>
      </c>
      <c r="C647" s="1" t="s">
        <v>6</v>
      </c>
      <c r="D647" s="1" t="s">
        <v>17</v>
      </c>
      <c r="E647" s="1" t="s">
        <v>32</v>
      </c>
      <c r="F647" s="9">
        <f>DATE(YEAR(Table1[[#This Row],[Date]]), MONTH(Table1[[#This Row],[Date]]), 1)</f>
        <v>43709</v>
      </c>
    </row>
    <row r="648" spans="1:6" x14ac:dyDescent="0.25">
      <c r="A648" s="2">
        <v>43721</v>
      </c>
      <c r="B648" s="7">
        <v>2.75</v>
      </c>
      <c r="C648" s="1" t="s">
        <v>6</v>
      </c>
      <c r="D648" s="1" t="s">
        <v>9</v>
      </c>
      <c r="E648" s="1" t="s">
        <v>26</v>
      </c>
      <c r="F648" s="9">
        <f>DATE(YEAR(Table1[[#This Row],[Date]]), MONTH(Table1[[#This Row],[Date]]), 1)</f>
        <v>43709</v>
      </c>
    </row>
    <row r="649" spans="1:6" x14ac:dyDescent="0.25">
      <c r="A649" s="2">
        <v>43721</v>
      </c>
      <c r="B649" s="7">
        <v>2250</v>
      </c>
      <c r="C649" s="1" t="s">
        <v>5</v>
      </c>
      <c r="D649" s="1" t="s">
        <v>21</v>
      </c>
      <c r="E649" s="1" t="s">
        <v>25</v>
      </c>
      <c r="F649" s="9">
        <f>DATE(YEAR(Table1[[#This Row],[Date]]), MONTH(Table1[[#This Row],[Date]]), 1)</f>
        <v>43709</v>
      </c>
    </row>
    <row r="650" spans="1:6" x14ac:dyDescent="0.25">
      <c r="A650" s="2">
        <v>43722</v>
      </c>
      <c r="B650" s="7">
        <v>46.44</v>
      </c>
      <c r="C650" s="1" t="s">
        <v>6</v>
      </c>
      <c r="D650" s="1" t="s">
        <v>14</v>
      </c>
      <c r="E650" s="1" t="s">
        <v>26</v>
      </c>
      <c r="F650" s="9">
        <f>DATE(YEAR(Table1[[#This Row],[Date]]), MONTH(Table1[[#This Row],[Date]]), 1)</f>
        <v>43709</v>
      </c>
    </row>
    <row r="651" spans="1:6" x14ac:dyDescent="0.25">
      <c r="A651" s="2">
        <v>43723</v>
      </c>
      <c r="B651" s="7">
        <v>47.66</v>
      </c>
      <c r="C651" s="1" t="s">
        <v>6</v>
      </c>
      <c r="D651" s="1" t="s">
        <v>39</v>
      </c>
      <c r="E651" s="1" t="s">
        <v>26</v>
      </c>
      <c r="F651" s="9">
        <f>DATE(YEAR(Table1[[#This Row],[Date]]), MONTH(Table1[[#This Row],[Date]]), 1)</f>
        <v>43709</v>
      </c>
    </row>
    <row r="652" spans="1:6" x14ac:dyDescent="0.25">
      <c r="A652" s="2">
        <v>43724</v>
      </c>
      <c r="B652" s="7">
        <v>35</v>
      </c>
      <c r="C652" s="1" t="s">
        <v>6</v>
      </c>
      <c r="D652" s="1" t="s">
        <v>22</v>
      </c>
      <c r="E652" s="1" t="s">
        <v>32</v>
      </c>
      <c r="F652" s="9">
        <f>DATE(YEAR(Table1[[#This Row],[Date]]), MONTH(Table1[[#This Row],[Date]]), 1)</f>
        <v>43709</v>
      </c>
    </row>
    <row r="653" spans="1:6" x14ac:dyDescent="0.25">
      <c r="A653" s="2">
        <v>43725</v>
      </c>
      <c r="B653" s="7">
        <v>60</v>
      </c>
      <c r="C653" s="1" t="s">
        <v>6</v>
      </c>
      <c r="D653" s="1" t="s">
        <v>22</v>
      </c>
      <c r="E653" s="1" t="s">
        <v>32</v>
      </c>
      <c r="F653" s="9">
        <f>DATE(YEAR(Table1[[#This Row],[Date]]), MONTH(Table1[[#This Row],[Date]]), 1)</f>
        <v>43709</v>
      </c>
    </row>
    <row r="654" spans="1:6" x14ac:dyDescent="0.25">
      <c r="A654" s="2">
        <v>43726</v>
      </c>
      <c r="B654" s="7">
        <v>75</v>
      </c>
      <c r="C654" s="1" t="s">
        <v>6</v>
      </c>
      <c r="D654" s="1" t="s">
        <v>8</v>
      </c>
      <c r="E654" s="1" t="s">
        <v>32</v>
      </c>
      <c r="F654" s="9">
        <f>DATE(YEAR(Table1[[#This Row],[Date]]), MONTH(Table1[[#This Row],[Date]]), 1)</f>
        <v>43709</v>
      </c>
    </row>
    <row r="655" spans="1:6" x14ac:dyDescent="0.25">
      <c r="A655" s="2">
        <v>43727</v>
      </c>
      <c r="B655" s="7">
        <v>40.81</v>
      </c>
      <c r="C655" s="1" t="s">
        <v>6</v>
      </c>
      <c r="D655" s="1" t="s">
        <v>7</v>
      </c>
      <c r="E655" s="1" t="s">
        <v>26</v>
      </c>
      <c r="F655" s="9">
        <f>DATE(YEAR(Table1[[#This Row],[Date]]), MONTH(Table1[[#This Row],[Date]]), 1)</f>
        <v>43709</v>
      </c>
    </row>
    <row r="656" spans="1:6" x14ac:dyDescent="0.25">
      <c r="A656" s="2">
        <v>43727</v>
      </c>
      <c r="B656" s="7">
        <v>2.75</v>
      </c>
      <c r="C656" s="1" t="s">
        <v>6</v>
      </c>
      <c r="D656" s="1" t="s">
        <v>9</v>
      </c>
      <c r="E656" s="1" t="s">
        <v>26</v>
      </c>
      <c r="F656" s="9">
        <f>DATE(YEAR(Table1[[#This Row],[Date]]), MONTH(Table1[[#This Row],[Date]]), 1)</f>
        <v>43709</v>
      </c>
    </row>
    <row r="657" spans="1:6" x14ac:dyDescent="0.25">
      <c r="A657" s="2">
        <v>43730</v>
      </c>
      <c r="B657" s="7">
        <v>131.1</v>
      </c>
      <c r="C657" s="1" t="s">
        <v>6</v>
      </c>
      <c r="D657" s="1" t="s">
        <v>12</v>
      </c>
      <c r="E657" s="1" t="s">
        <v>26</v>
      </c>
      <c r="F657" s="9">
        <f>DATE(YEAR(Table1[[#This Row],[Date]]), MONTH(Table1[[#This Row],[Date]]), 1)</f>
        <v>43709</v>
      </c>
    </row>
    <row r="658" spans="1:6" x14ac:dyDescent="0.25">
      <c r="A658" s="2">
        <v>43731</v>
      </c>
      <c r="B658" s="7">
        <v>27.71</v>
      </c>
      <c r="C658" s="1" t="s">
        <v>6</v>
      </c>
      <c r="D658" s="1" t="s">
        <v>14</v>
      </c>
      <c r="E658" s="1" t="s">
        <v>26</v>
      </c>
      <c r="F658" s="9">
        <f>DATE(YEAR(Table1[[#This Row],[Date]]), MONTH(Table1[[#This Row],[Date]]), 1)</f>
        <v>43709</v>
      </c>
    </row>
    <row r="659" spans="1:6" x14ac:dyDescent="0.25">
      <c r="A659" s="2">
        <v>43731</v>
      </c>
      <c r="B659" s="7">
        <v>24.63</v>
      </c>
      <c r="C659" s="1" t="s">
        <v>6</v>
      </c>
      <c r="D659" s="1" t="s">
        <v>39</v>
      </c>
      <c r="E659" s="1" t="s">
        <v>26</v>
      </c>
      <c r="F659" s="9">
        <f>DATE(YEAR(Table1[[#This Row],[Date]]), MONTH(Table1[[#This Row],[Date]]), 1)</f>
        <v>43709</v>
      </c>
    </row>
    <row r="660" spans="1:6" x14ac:dyDescent="0.25">
      <c r="A660" s="2">
        <v>43735</v>
      </c>
      <c r="B660" s="7">
        <v>2250</v>
      </c>
      <c r="C660" s="1" t="s">
        <v>5</v>
      </c>
      <c r="D660" s="1" t="s">
        <v>21</v>
      </c>
      <c r="E660" s="1" t="s">
        <v>25</v>
      </c>
      <c r="F660" s="9">
        <f>DATE(YEAR(Table1[[#This Row],[Date]]), MONTH(Table1[[#This Row],[Date]]), 1)</f>
        <v>43709</v>
      </c>
    </row>
    <row r="661" spans="1:6" x14ac:dyDescent="0.25">
      <c r="A661" s="2">
        <v>43736</v>
      </c>
      <c r="B661" s="7">
        <v>33.46</v>
      </c>
      <c r="C661" s="1" t="s">
        <v>6</v>
      </c>
      <c r="D661" s="1" t="s">
        <v>13</v>
      </c>
      <c r="E661" s="1" t="s">
        <v>26</v>
      </c>
      <c r="F661" s="9">
        <f>DATE(YEAR(Table1[[#This Row],[Date]]), MONTH(Table1[[#This Row],[Date]]), 1)</f>
        <v>43709</v>
      </c>
    </row>
    <row r="662" spans="1:6" x14ac:dyDescent="0.25">
      <c r="A662" s="2">
        <v>43736</v>
      </c>
      <c r="B662" s="7">
        <v>4.2699999999999996</v>
      </c>
      <c r="C662" s="1" t="s">
        <v>6</v>
      </c>
      <c r="D662" s="1" t="s">
        <v>13</v>
      </c>
      <c r="E662" s="1" t="s">
        <v>26</v>
      </c>
      <c r="F662" s="9">
        <f>DATE(YEAR(Table1[[#This Row],[Date]]), MONTH(Table1[[#This Row],[Date]]), 1)</f>
        <v>43709</v>
      </c>
    </row>
    <row r="663" spans="1:6" x14ac:dyDescent="0.25">
      <c r="A663" s="2">
        <v>43738</v>
      </c>
      <c r="B663" s="7">
        <v>1.75</v>
      </c>
      <c r="C663" s="1" t="s">
        <v>6</v>
      </c>
      <c r="D663" s="1" t="s">
        <v>9</v>
      </c>
      <c r="E663" s="1" t="s">
        <v>26</v>
      </c>
      <c r="F663" s="9">
        <f>DATE(YEAR(Table1[[#This Row],[Date]]), MONTH(Table1[[#This Row],[Date]]), 1)</f>
        <v>43709</v>
      </c>
    </row>
    <row r="664" spans="1:6" x14ac:dyDescent="0.25">
      <c r="A664" s="2">
        <v>43738</v>
      </c>
      <c r="B664" s="7">
        <v>75</v>
      </c>
      <c r="C664" s="1" t="s">
        <v>6</v>
      </c>
      <c r="D664" s="1" t="s">
        <v>2</v>
      </c>
      <c r="E664" s="1" t="s">
        <v>32</v>
      </c>
      <c r="F664" s="9">
        <f>DATE(YEAR(Table1[[#This Row],[Date]]), MONTH(Table1[[#This Row],[Date]]), 1)</f>
        <v>43709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D38FB-D0EB-417C-9D3E-93DF79F368D5}">
  <dimension ref="A1:N25"/>
  <sheetViews>
    <sheetView topLeftCell="E1" workbookViewId="0">
      <selection activeCell="M4" sqref="M4"/>
    </sheetView>
  </sheetViews>
  <sheetFormatPr defaultRowHeight="15" x14ac:dyDescent="0.25"/>
  <cols>
    <col min="1" max="1" width="17.5703125" bestFit="1" customWidth="1"/>
    <col min="2" max="2" width="12.28515625" bestFit="1" customWidth="1"/>
    <col min="4" max="4" width="17.5703125" bestFit="1" customWidth="1"/>
    <col min="5" max="5" width="12.28515625" bestFit="1" customWidth="1"/>
    <col min="7" max="7" width="17.5703125" bestFit="1" customWidth="1"/>
    <col min="8" max="8" width="12.28515625" customWidth="1"/>
    <col min="10" max="10" width="17.5703125" bestFit="1" customWidth="1"/>
    <col min="11" max="11" width="12.28515625" bestFit="1" customWidth="1"/>
    <col min="13" max="13" width="17.5703125" bestFit="1" customWidth="1"/>
    <col min="14" max="14" width="12.28515625" bestFit="1" customWidth="1"/>
    <col min="15" max="20" width="17.5703125" bestFit="1" customWidth="1"/>
    <col min="21" max="21" width="19.85546875" bestFit="1" customWidth="1"/>
    <col min="22" max="22" width="17.42578125" bestFit="1" customWidth="1"/>
  </cols>
  <sheetData>
    <row r="1" spans="1:14" x14ac:dyDescent="0.25">
      <c r="A1" s="10" t="s">
        <v>4</v>
      </c>
      <c r="B1" t="s">
        <v>6</v>
      </c>
      <c r="D1" s="10" t="s">
        <v>4</v>
      </c>
      <c r="E1" t="s">
        <v>6</v>
      </c>
      <c r="G1" s="10" t="s">
        <v>4</v>
      </c>
      <c r="H1" t="s">
        <v>5</v>
      </c>
      <c r="J1" s="10" t="s">
        <v>4</v>
      </c>
      <c r="K1" t="s">
        <v>6</v>
      </c>
      <c r="M1" s="10" t="s">
        <v>4</v>
      </c>
      <c r="N1" t="s">
        <v>6</v>
      </c>
    </row>
    <row r="3" spans="1:14" x14ac:dyDescent="0.25">
      <c r="A3" s="10" t="s">
        <v>23</v>
      </c>
      <c r="B3" t="s">
        <v>31</v>
      </c>
      <c r="D3" s="10" t="s">
        <v>29</v>
      </c>
      <c r="E3" t="s">
        <v>31</v>
      </c>
      <c r="G3" s="10" t="s">
        <v>29</v>
      </c>
      <c r="H3" t="s">
        <v>31</v>
      </c>
      <c r="J3" s="10" t="s">
        <v>29</v>
      </c>
      <c r="K3" t="s">
        <v>31</v>
      </c>
      <c r="M3" s="10" t="s">
        <v>29</v>
      </c>
      <c r="N3" t="s">
        <v>31</v>
      </c>
    </row>
    <row r="4" spans="1:14" x14ac:dyDescent="0.25">
      <c r="A4" t="s">
        <v>18</v>
      </c>
      <c r="B4" s="13">
        <v>1247.44</v>
      </c>
      <c r="D4" s="12">
        <v>43101</v>
      </c>
      <c r="E4" s="13">
        <v>2066.65</v>
      </c>
      <c r="G4" s="12">
        <v>43101</v>
      </c>
      <c r="H4" s="13">
        <v>4000</v>
      </c>
      <c r="J4" s="12">
        <v>43101</v>
      </c>
      <c r="K4" s="13">
        <v>2066.65</v>
      </c>
      <c r="M4" s="11" t="s">
        <v>26</v>
      </c>
      <c r="N4" s="13">
        <v>254.76000000000002</v>
      </c>
    </row>
    <row r="5" spans="1:14" x14ac:dyDescent="0.25">
      <c r="A5" t="s">
        <v>12</v>
      </c>
      <c r="B5" s="13">
        <v>156.80000000000001</v>
      </c>
      <c r="D5" s="12" t="s">
        <v>30</v>
      </c>
      <c r="E5" s="13">
        <v>2066.65</v>
      </c>
      <c r="G5" s="12" t="s">
        <v>30</v>
      </c>
      <c r="H5" s="13">
        <v>4000</v>
      </c>
      <c r="J5" s="12">
        <v>43132</v>
      </c>
      <c r="K5" s="13">
        <v>2089.4400000000005</v>
      </c>
      <c r="M5" s="11" t="s">
        <v>27</v>
      </c>
      <c r="N5" s="13">
        <v>265</v>
      </c>
    </row>
    <row r="6" spans="1:14" x14ac:dyDescent="0.25">
      <c r="A6" t="s">
        <v>22</v>
      </c>
      <c r="B6" s="13">
        <v>140</v>
      </c>
      <c r="J6" s="12">
        <v>43160</v>
      </c>
      <c r="K6" s="13">
        <v>2178.66</v>
      </c>
      <c r="M6" s="11" t="s">
        <v>32</v>
      </c>
      <c r="N6" s="13">
        <v>1546.89</v>
      </c>
    </row>
    <row r="7" spans="1:14" x14ac:dyDescent="0.25">
      <c r="A7" t="s">
        <v>39</v>
      </c>
      <c r="B7" s="13">
        <v>100.37</v>
      </c>
      <c r="J7" s="12">
        <v>43191</v>
      </c>
      <c r="K7" s="13">
        <v>2862.66</v>
      </c>
      <c r="M7" s="11" t="s">
        <v>30</v>
      </c>
      <c r="N7" s="13">
        <v>2066.65</v>
      </c>
    </row>
    <row r="8" spans="1:14" x14ac:dyDescent="0.25">
      <c r="A8" t="s">
        <v>17</v>
      </c>
      <c r="B8" s="13">
        <v>89.46</v>
      </c>
      <c r="J8" s="12">
        <v>43221</v>
      </c>
      <c r="K8" s="13">
        <v>10507.560000000001</v>
      </c>
    </row>
    <row r="9" spans="1:14" x14ac:dyDescent="0.25">
      <c r="A9" t="s">
        <v>30</v>
      </c>
      <c r="B9" s="13">
        <v>1734.0699999999997</v>
      </c>
      <c r="J9" s="12">
        <v>43252</v>
      </c>
      <c r="K9" s="13">
        <v>2115.0500000000002</v>
      </c>
    </row>
    <row r="10" spans="1:14" x14ac:dyDescent="0.25">
      <c r="J10" s="12">
        <v>43282</v>
      </c>
      <c r="K10" s="13">
        <v>2302.6400000000003</v>
      </c>
    </row>
    <row r="11" spans="1:14" x14ac:dyDescent="0.25">
      <c r="J11" s="12">
        <v>43313</v>
      </c>
      <c r="K11" s="13">
        <v>1992.6800000000005</v>
      </c>
    </row>
    <row r="12" spans="1:14" x14ac:dyDescent="0.25">
      <c r="J12" s="12">
        <v>43344</v>
      </c>
      <c r="K12" s="13">
        <v>2314.7400000000002</v>
      </c>
    </row>
    <row r="13" spans="1:14" x14ac:dyDescent="0.25">
      <c r="J13" s="12">
        <v>43374</v>
      </c>
      <c r="K13" s="13">
        <v>2242.37</v>
      </c>
    </row>
    <row r="14" spans="1:14" x14ac:dyDescent="0.25">
      <c r="J14" s="12">
        <v>43405</v>
      </c>
      <c r="K14" s="13">
        <v>2118.150000000001</v>
      </c>
    </row>
    <row r="15" spans="1:14" x14ac:dyDescent="0.25">
      <c r="J15" s="12">
        <v>43435</v>
      </c>
      <c r="K15" s="13">
        <v>2652.9400000000005</v>
      </c>
    </row>
    <row r="16" spans="1:14" x14ac:dyDescent="0.25">
      <c r="J16" s="12">
        <v>43466</v>
      </c>
      <c r="K16" s="13">
        <v>1736.4299999999998</v>
      </c>
    </row>
    <row r="17" spans="10:11" x14ac:dyDescent="0.25">
      <c r="J17" s="12">
        <v>43497</v>
      </c>
      <c r="K17" s="13">
        <v>1954.6</v>
      </c>
    </row>
    <row r="18" spans="10:11" x14ac:dyDescent="0.25">
      <c r="J18" s="12">
        <v>43525</v>
      </c>
      <c r="K18" s="13">
        <v>2142.59</v>
      </c>
    </row>
    <row r="19" spans="10:11" x14ac:dyDescent="0.25">
      <c r="J19" s="12">
        <v>43556</v>
      </c>
      <c r="K19" s="13">
        <v>1966.8700000000003</v>
      </c>
    </row>
    <row r="20" spans="10:11" x14ac:dyDescent="0.25">
      <c r="J20" s="12">
        <v>43586</v>
      </c>
      <c r="K20" s="13">
        <v>2253.4100000000003</v>
      </c>
    </row>
    <row r="21" spans="10:11" x14ac:dyDescent="0.25">
      <c r="J21" s="12">
        <v>43617</v>
      </c>
      <c r="K21" s="13">
        <v>10912.38</v>
      </c>
    </row>
    <row r="22" spans="10:11" x14ac:dyDescent="0.25">
      <c r="J22" s="12">
        <v>43647</v>
      </c>
      <c r="K22" s="13">
        <v>2551.1200000000008</v>
      </c>
    </row>
    <row r="23" spans="10:11" x14ac:dyDescent="0.25">
      <c r="J23" s="12">
        <v>43678</v>
      </c>
      <c r="K23" s="13">
        <v>2043.2000000000003</v>
      </c>
    </row>
    <row r="24" spans="10:11" x14ac:dyDescent="0.25">
      <c r="J24" s="12">
        <v>43709</v>
      </c>
      <c r="K24" s="13">
        <v>2038.28</v>
      </c>
    </row>
    <row r="25" spans="10:11" x14ac:dyDescent="0.25">
      <c r="J25" s="12" t="s">
        <v>30</v>
      </c>
      <c r="K25" s="13">
        <v>63042.420000000006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Dados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Willian Rodrigues</cp:lastModifiedBy>
  <cp:lastPrinted>2026-04-30T17:04:44Z</cp:lastPrinted>
  <dcterms:created xsi:type="dcterms:W3CDTF">2025-04-09T13:35:02Z</dcterms:created>
  <dcterms:modified xsi:type="dcterms:W3CDTF">2026-04-30T17:07:04Z</dcterms:modified>
</cp:coreProperties>
</file>